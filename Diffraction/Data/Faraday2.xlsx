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rew\Documents\GitHub\imphys\Faraday\Data\"/>
    </mc:Choice>
  </mc:AlternateContent>
  <xr:revisionPtr revIDLastSave="0" documentId="13_ncr:1_{BF83C7A1-8222-4AE5-86C7-B34744E48B4A}" xr6:coauthVersionLast="47" xr6:coauthVersionMax="47" xr10:uidLastSave="{00000000-0000-0000-0000-000000000000}"/>
  <bookViews>
    <workbookView xWindow="-83" yWindow="0" windowWidth="10965" windowHeight="13583" xr2:uid="{CB27F419-75B0-417A-B05E-06DA74A53A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1" l="1"/>
  <c r="V3" i="1"/>
  <c r="V2" i="1" l="1"/>
  <c r="K3" i="1"/>
  <c r="K5" i="1"/>
  <c r="K6" i="1"/>
  <c r="K7" i="1"/>
  <c r="L7" i="1"/>
  <c r="O7" i="1"/>
  <c r="J3" i="1"/>
  <c r="J4" i="1"/>
  <c r="H3" i="1"/>
  <c r="H4" i="1"/>
  <c r="H5" i="1"/>
  <c r="J5" i="1" s="1"/>
  <c r="H6" i="1"/>
  <c r="J6" i="1" s="1"/>
  <c r="F3" i="1"/>
  <c r="I3" i="1" s="1"/>
  <c r="F4" i="1"/>
  <c r="I4" i="1" s="1"/>
  <c r="F5" i="1"/>
  <c r="L5" i="1" s="1"/>
  <c r="M5" i="1" s="1"/>
  <c r="C3" i="1"/>
  <c r="C4" i="1"/>
  <c r="C5" i="1"/>
  <c r="C6" i="1"/>
  <c r="C7" i="1"/>
  <c r="C8" i="1"/>
  <c r="K8" i="1" s="1"/>
  <c r="H7" i="1"/>
  <c r="J7" i="1" s="1"/>
  <c r="H8" i="1"/>
  <c r="J8" i="1" s="1"/>
  <c r="F7" i="1"/>
  <c r="I7" i="1" s="1"/>
  <c r="F8" i="1"/>
  <c r="L8" i="1" s="1"/>
  <c r="M8" i="1" s="1"/>
  <c r="F6" i="1"/>
  <c r="I6" i="1" s="1"/>
  <c r="H2" i="1"/>
  <c r="J2" i="1" s="1"/>
  <c r="B4" i="1"/>
  <c r="K4" i="1" s="1"/>
  <c r="U2" i="1"/>
  <c r="B2" i="1"/>
  <c r="F2" i="1"/>
  <c r="C2" i="1"/>
  <c r="I2" i="1" s="1"/>
  <c r="N7" i="1" l="1"/>
  <c r="M7" i="1"/>
  <c r="O4" i="1"/>
  <c r="N4" i="1" s="1"/>
  <c r="O3" i="1"/>
  <c r="N3" i="1" s="1"/>
  <c r="I8" i="1"/>
  <c r="L3" i="1"/>
  <c r="M3" i="1" s="1"/>
  <c r="L6" i="1"/>
  <c r="M6" i="1" s="1"/>
  <c r="O5" i="1"/>
  <c r="N5" i="1" s="1"/>
  <c r="O6" i="1"/>
  <c r="N6" i="1" s="1"/>
  <c r="I5" i="1"/>
  <c r="O8" i="1"/>
  <c r="N8" i="1" s="1"/>
  <c r="O2" i="1"/>
  <c r="L4" i="1"/>
  <c r="M4" i="1" s="1"/>
  <c r="L2" i="1"/>
  <c r="M2" i="1" s="1"/>
  <c r="K2" i="1"/>
  <c r="N2" i="1" l="1"/>
</calcChain>
</file>

<file path=xl/sharedStrings.xml><?xml version="1.0" encoding="utf-8"?>
<sst xmlns="http://schemas.openxmlformats.org/spreadsheetml/2006/main" count="22" uniqueCount="22">
  <si>
    <t>V_p</t>
  </si>
  <si>
    <t>I_p</t>
  </si>
  <si>
    <t>I_s</t>
  </si>
  <si>
    <t>P_p</t>
  </si>
  <si>
    <t>P_s</t>
  </si>
  <si>
    <t>sV_p</t>
  </si>
  <si>
    <t>sI_s</t>
  </si>
  <si>
    <t>sP_s</t>
  </si>
  <si>
    <t>sP_p</t>
  </si>
  <si>
    <t>sI_p</t>
  </si>
  <si>
    <t>R18</t>
  </si>
  <si>
    <t>R27</t>
  </si>
  <si>
    <t>sR18</t>
  </si>
  <si>
    <t>sR27</t>
  </si>
  <si>
    <t>wavecounts: around 200</t>
  </si>
  <si>
    <t xml:space="preserve">V_su </t>
  </si>
  <si>
    <t xml:space="preserve">sV_su </t>
  </si>
  <si>
    <t>R_p</t>
  </si>
  <si>
    <t xml:space="preserve">V_r </t>
  </si>
  <si>
    <t>V_s</t>
  </si>
  <si>
    <t xml:space="preserve">sV_s </t>
  </si>
  <si>
    <t xml:space="preserve">sV_r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</si>
</sst>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2CEA5-97CB-4C9D-8D8B-4DBAFFF96CF4}">
  <dimension ref="A1:X8"/>
  <sheetViews>
    <sheetView tabSelected="1" topLeftCell="L1" zoomScale="59" zoomScaleNormal="59" workbookViewId="0">
      <selection activeCell="V5" sqref="V5"/>
    </sheetView>
  </sheetViews>
  <sheetFormatPr defaultRowHeight="14.25" x14ac:dyDescent="0.45"/>
  <cols>
    <col min="1" max="1" width="13.265625" customWidth="1"/>
  </cols>
  <sheetData>
    <row r="1" spans="1:24" x14ac:dyDescent="0.45">
      <c r="A1" t="s">
        <v>15</v>
      </c>
      <c r="B1" t="s">
        <v>16</v>
      </c>
      <c r="C1" s="2" t="s">
        <v>0</v>
      </c>
      <c r="D1" t="s">
        <v>17</v>
      </c>
      <c r="E1" t="s">
        <v>18</v>
      </c>
      <c r="F1" s="2" t="s">
        <v>1</v>
      </c>
      <c r="G1" t="s">
        <v>19</v>
      </c>
      <c r="H1" s="2" t="s">
        <v>2</v>
      </c>
      <c r="I1" s="2" t="s">
        <v>3</v>
      </c>
      <c r="J1" s="2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>
        <v>0</v>
      </c>
      <c r="S1" t="s">
        <v>12</v>
      </c>
      <c r="T1" t="s">
        <v>13</v>
      </c>
      <c r="U1" t="s">
        <v>20</v>
      </c>
      <c r="V1" t="s">
        <v>21</v>
      </c>
      <c r="X1" t="s">
        <v>14</v>
      </c>
    </row>
    <row r="2" spans="1:24" x14ac:dyDescent="0.45">
      <c r="A2">
        <v>2.6352000000000002</v>
      </c>
      <c r="B2">
        <f>7.3073/1000</f>
        <v>7.3073000000000001E-3</v>
      </c>
      <c r="C2">
        <f t="shared" ref="C2:C8" si="0">A2*(D2/($P$2+D2))</f>
        <v>0.17520721861643185</v>
      </c>
      <c r="D2">
        <v>1.26</v>
      </c>
      <c r="E2" s="1">
        <v>2.4270999999999998</v>
      </c>
      <c r="F2">
        <f t="shared" ref="F2:F8" si="1">E2/$P$2</f>
        <v>0.1371940534735176</v>
      </c>
      <c r="G2" s="1">
        <v>1.8273999999999999E-2</v>
      </c>
      <c r="H2" s="1">
        <f t="shared" ref="H2:H8" si="2">G2/$Q$2</f>
        <v>6.9474964832908783E-4</v>
      </c>
      <c r="I2">
        <f t="shared" ref="I2:I8" si="3">C2*F2</f>
        <v>2.4037388519809039E-2</v>
      </c>
      <c r="J2">
        <f t="shared" ref="J2:J8" si="4">H2*G2</f>
        <v>1.269585507356575E-5</v>
      </c>
      <c r="K2">
        <f t="shared" ref="K2:K8" si="5">SQRT((B2/A2)^2)+($P$2*$R$2/(D2*($P$2+D2)))^2+($S$2/($P$2+D2))^2*C2</f>
        <v>0.35407395847303863</v>
      </c>
      <c r="L2" s="1">
        <f t="shared" ref="L2:L8" si="6">SQRT((U2/E2)^2+ ($S$2/$P$2)^2)*F2</f>
        <v>4.3383172810399502E-5</v>
      </c>
      <c r="M2" s="1">
        <f t="shared" ref="M2:M8" si="7">SQRT((U2/G2)^2 +(L2/H2)^2)*J2</f>
        <v>9.5065208452063038E-7</v>
      </c>
      <c r="N2">
        <f t="shared" ref="N2:N8" si="8">SQRT((K2/C2)^2+(O2/F2)^2)*I2</f>
        <v>4.8576884319819429E-2</v>
      </c>
      <c r="O2">
        <f t="shared" ref="O2:O8" si="9">SQRT((V2/E2)^2 +($S$2/$P$2)^2)*F2</f>
        <v>3.6773199867575005E-4</v>
      </c>
      <c r="P2">
        <v>17.690999999999999</v>
      </c>
      <c r="Q2">
        <v>26.303000000000001</v>
      </c>
      <c r="R2">
        <v>0.8</v>
      </c>
      <c r="S2">
        <v>1E-3</v>
      </c>
      <c r="T2">
        <v>1E-3</v>
      </c>
      <c r="U2">
        <f>755.13/10^6</f>
        <v>7.5513000000000002E-4</v>
      </c>
      <c r="V2">
        <f>6.5041/1000</f>
        <v>6.5041000000000005E-3</v>
      </c>
    </row>
    <row r="3" spans="1:24" x14ac:dyDescent="0.45">
      <c r="A3">
        <v>1.9009</v>
      </c>
      <c r="B3" s="1">
        <v>9.8607999999999994E-3</v>
      </c>
      <c r="C3">
        <f t="shared" si="0"/>
        <v>0.10745848221428193</v>
      </c>
      <c r="D3">
        <v>1.06</v>
      </c>
      <c r="E3" s="1">
        <v>1.7682</v>
      </c>
      <c r="F3">
        <f t="shared" si="1"/>
        <v>9.9949126674580308E-2</v>
      </c>
      <c r="G3" s="1">
        <v>1.1372999999999999E-2</v>
      </c>
      <c r="H3" s="1">
        <f t="shared" si="2"/>
        <v>4.3238413869140397E-4</v>
      </c>
      <c r="I3">
        <f t="shared" si="3"/>
        <v>1.0740381451093401E-2</v>
      </c>
      <c r="J3">
        <f t="shared" si="4"/>
        <v>4.9175048093373367E-6</v>
      </c>
      <c r="K3">
        <f t="shared" si="5"/>
        <v>0.51220632861795745</v>
      </c>
      <c r="L3" s="1">
        <f t="shared" si="6"/>
        <v>1.1152556291203543E-5</v>
      </c>
      <c r="M3" s="1">
        <f t="shared" si="7"/>
        <v>1.4662164940630958E-7</v>
      </c>
      <c r="N3">
        <f t="shared" si="8"/>
        <v>5.1194575531282711E-2</v>
      </c>
      <c r="O3">
        <f t="shared" si="9"/>
        <v>5.2320514213449707E-5</v>
      </c>
      <c r="P3">
        <v>17.690999999999999</v>
      </c>
      <c r="Q3">
        <v>26.303000000000001</v>
      </c>
      <c r="R3">
        <v>0.3</v>
      </c>
      <c r="S3">
        <v>1E-3</v>
      </c>
      <c r="T3">
        <v>1E-3</v>
      </c>
      <c r="U3" s="1">
        <v>1.7011000000000001E-4</v>
      </c>
      <c r="V3" s="1">
        <f>920.19/1000000</f>
        <v>9.2019000000000009E-4</v>
      </c>
    </row>
    <row r="4" spans="1:24" x14ac:dyDescent="0.45">
      <c r="A4" s="3">
        <v>1.6756</v>
      </c>
      <c r="B4">
        <f>34.517/1000</f>
        <v>3.4517000000000006E-2</v>
      </c>
      <c r="C4">
        <f t="shared" si="0"/>
        <v>9.4722201482587615E-2</v>
      </c>
      <c r="D4">
        <v>1.06</v>
      </c>
      <c r="E4">
        <v>1.5956999999999999</v>
      </c>
      <c r="F4">
        <f t="shared" si="1"/>
        <v>9.0198405969136849E-2</v>
      </c>
      <c r="G4" s="1">
        <v>1.2529E-2</v>
      </c>
      <c r="H4" s="1">
        <f t="shared" si="2"/>
        <v>4.7633349808006689E-4</v>
      </c>
      <c r="I4">
        <f t="shared" si="3"/>
        <v>8.5437915836168148E-3</v>
      </c>
      <c r="J4">
        <f t="shared" si="4"/>
        <v>5.967982397445158E-6</v>
      </c>
      <c r="K4">
        <f t="shared" si="5"/>
        <v>0.52761867620372982</v>
      </c>
      <c r="L4" s="1">
        <f t="shared" si="6"/>
        <v>4.8536578399794156E-5</v>
      </c>
      <c r="M4" s="1">
        <f t="shared" si="7"/>
        <v>7.3160498652045325E-7</v>
      </c>
      <c r="N4">
        <f t="shared" si="8"/>
        <v>4.7590366733241282E-2</v>
      </c>
      <c r="O4" s="1">
        <f t="shared" si="9"/>
        <v>1.8367261008616563E-4</v>
      </c>
      <c r="P4">
        <v>17.690999999999999</v>
      </c>
      <c r="Q4">
        <v>26.303000000000001</v>
      </c>
      <c r="R4">
        <v>0.3</v>
      </c>
      <c r="S4">
        <v>1E-3</v>
      </c>
      <c r="T4">
        <v>1E-3</v>
      </c>
      <c r="U4" s="1">
        <v>8.5391000000000004E-4</v>
      </c>
      <c r="V4" s="1">
        <f>3.2481/1000</f>
        <v>3.2480999999999999E-3</v>
      </c>
    </row>
    <row r="5" spans="1:24" x14ac:dyDescent="0.45">
      <c r="A5">
        <v>1.2977000000000001</v>
      </c>
      <c r="B5" s="1">
        <v>1.9867000000000001E-3</v>
      </c>
      <c r="C5">
        <f t="shared" si="0"/>
        <v>7.5965621840242678E-2</v>
      </c>
      <c r="D5">
        <v>1.1000000000000001</v>
      </c>
      <c r="E5">
        <v>1.2089000000000001</v>
      </c>
      <c r="F5">
        <f t="shared" si="1"/>
        <v>6.833418122209034E-2</v>
      </c>
      <c r="G5" s="1">
        <v>7.2268000000000002E-3</v>
      </c>
      <c r="H5" s="1">
        <f t="shared" si="2"/>
        <v>2.747519294377067E-4</v>
      </c>
      <c r="I5">
        <f t="shared" si="3"/>
        <v>5.1910485694799269E-3</v>
      </c>
      <c r="J5">
        <f t="shared" si="4"/>
        <v>1.9855772436604187E-6</v>
      </c>
      <c r="K5">
        <f t="shared" si="5"/>
        <v>0.47034387217762907</v>
      </c>
      <c r="L5" s="1">
        <f t="shared" si="6"/>
        <v>1.1373531848805354E-5</v>
      </c>
      <c r="M5" s="1">
        <f t="shared" si="7"/>
        <v>9.7260272304940774E-8</v>
      </c>
      <c r="N5">
        <f t="shared" si="8"/>
        <v>3.214056356075784E-2</v>
      </c>
      <c r="O5" s="1">
        <f t="shared" si="9"/>
        <v>4.2567789905886117E-5</v>
      </c>
      <c r="P5">
        <v>17.690999999999999</v>
      </c>
      <c r="Q5">
        <v>26.303000000000001</v>
      </c>
      <c r="R5">
        <v>0.2</v>
      </c>
      <c r="S5">
        <v>1E-3</v>
      </c>
      <c r="T5">
        <v>1E-3</v>
      </c>
      <c r="U5" s="1">
        <v>1.8924999999999999E-4</v>
      </c>
      <c r="V5" s="1">
        <v>7.4996000000000004E-4</v>
      </c>
    </row>
    <row r="6" spans="1:24" x14ac:dyDescent="0.45">
      <c r="A6">
        <v>1.0711999999999999</v>
      </c>
      <c r="B6" s="1">
        <v>1.7587E-3</v>
      </c>
      <c r="C6">
        <f t="shared" si="0"/>
        <v>6.324301898835169E-2</v>
      </c>
      <c r="D6">
        <v>1.1100000000000001</v>
      </c>
      <c r="E6" s="1">
        <v>0.99275999999999998</v>
      </c>
      <c r="F6">
        <f t="shared" si="1"/>
        <v>5.6116669492962526E-2</v>
      </c>
      <c r="G6" s="1">
        <v>5.9919999999999999E-3</v>
      </c>
      <c r="H6" s="1">
        <f t="shared" si="2"/>
        <v>2.2780671406303463E-4</v>
      </c>
      <c r="I6">
        <f t="shared" si="3"/>
        <v>3.5489875943064851E-3</v>
      </c>
      <c r="J6">
        <f t="shared" si="4"/>
        <v>1.3650178306657035E-6</v>
      </c>
      <c r="K6">
        <f t="shared" si="5"/>
        <v>0.4615560713297836</v>
      </c>
      <c r="L6" s="1">
        <f t="shared" si="6"/>
        <v>2.0601777227697974E-5</v>
      </c>
      <c r="M6" s="1">
        <f t="shared" si="7"/>
        <v>1.4821967052901615E-7</v>
      </c>
      <c r="N6">
        <f t="shared" si="8"/>
        <v>2.5900989607299349E-2</v>
      </c>
      <c r="O6" s="1">
        <f t="shared" si="9"/>
        <v>3.5991053221343573E-5</v>
      </c>
      <c r="P6">
        <v>17.690999999999999</v>
      </c>
      <c r="Q6">
        <v>26.303000000000001</v>
      </c>
      <c r="R6">
        <v>0.15</v>
      </c>
      <c r="S6">
        <v>1E-3</v>
      </c>
      <c r="T6">
        <v>1E-3</v>
      </c>
      <c r="U6" s="1">
        <v>3.6012000000000001E-4</v>
      </c>
      <c r="V6" s="1">
        <v>6.3424E-4</v>
      </c>
    </row>
    <row r="7" spans="1:24" x14ac:dyDescent="0.45">
      <c r="A7" s="1">
        <v>0.80991000000000002</v>
      </c>
      <c r="B7" s="1">
        <v>1.7745E-3</v>
      </c>
      <c r="C7">
        <f t="shared" si="0"/>
        <v>4.8626443865894479E-2</v>
      </c>
      <c r="D7">
        <v>1.1299999999999999</v>
      </c>
      <c r="E7" s="1">
        <v>0.74482000000000004</v>
      </c>
      <c r="F7">
        <f t="shared" si="1"/>
        <v>4.210163359900515E-2</v>
      </c>
      <c r="G7" s="1">
        <v>3.6299000000000001E-3</v>
      </c>
      <c r="H7" s="1">
        <f t="shared" si="2"/>
        <v>1.3800326958902026E-4</v>
      </c>
      <c r="I7">
        <f t="shared" si="3"/>
        <v>2.0472527228644808E-3</v>
      </c>
      <c r="J7">
        <f t="shared" si="4"/>
        <v>5.0093806828118462E-7</v>
      </c>
      <c r="K7">
        <f t="shared" si="5"/>
        <v>0.44502651868711168</v>
      </c>
      <c r="L7" s="1">
        <f t="shared" si="6"/>
        <v>2.3798334519815244E-6</v>
      </c>
      <c r="M7" s="1">
        <f t="shared" si="7"/>
        <v>8.6385574473477355E-9</v>
      </c>
      <c r="N7">
        <f t="shared" si="8"/>
        <v>1.8736343431962968E-2</v>
      </c>
      <c r="O7" s="1">
        <f t="shared" si="9"/>
        <v>2.3798334519815244E-6</v>
      </c>
      <c r="P7">
        <v>17.690999999999999</v>
      </c>
      <c r="Q7">
        <v>26.303000000000001</v>
      </c>
      <c r="R7">
        <v>0.15</v>
      </c>
      <c r="S7">
        <v>1E-3</v>
      </c>
      <c r="T7">
        <v>1E-3</v>
      </c>
    </row>
    <row r="8" spans="1:24" x14ac:dyDescent="0.45">
      <c r="A8" s="1">
        <v>0.54851000000000005</v>
      </c>
      <c r="B8" s="1">
        <v>2.0052E-3</v>
      </c>
      <c r="C8">
        <f t="shared" si="0"/>
        <v>3.2658083036521193E-2</v>
      </c>
      <c r="D8">
        <v>1.1200000000000001</v>
      </c>
      <c r="E8" s="1">
        <v>0.49723000000000001</v>
      </c>
      <c r="F8">
        <f t="shared" si="1"/>
        <v>2.8106381776044319E-2</v>
      </c>
      <c r="G8" s="1">
        <v>3.9383000000000002E-4</v>
      </c>
      <c r="H8" s="1">
        <f t="shared" si="2"/>
        <v>1.4972816788959434E-5</v>
      </c>
      <c r="I8">
        <f t="shared" si="3"/>
        <v>9.1790054989822139E-4</v>
      </c>
      <c r="J8">
        <f t="shared" si="4"/>
        <v>5.8967444359958937E-9</v>
      </c>
      <c r="K8">
        <f t="shared" si="5"/>
        <v>0.45491373498439269</v>
      </c>
      <c r="L8" s="1">
        <f t="shared" si="6"/>
        <v>4.0221316866241511E-5</v>
      </c>
      <c r="M8" s="1">
        <f t="shared" si="7"/>
        <v>1.908526634992782E-8</v>
      </c>
      <c r="N8">
        <f t="shared" si="8"/>
        <v>1.2785979134477288E-2</v>
      </c>
      <c r="O8" s="1">
        <f t="shared" si="9"/>
        <v>2.3907913739493296E-5</v>
      </c>
      <c r="P8">
        <v>17.690999999999999</v>
      </c>
      <c r="Q8">
        <v>26.303000000000001</v>
      </c>
      <c r="R8">
        <v>0.08</v>
      </c>
      <c r="S8">
        <v>1E-3</v>
      </c>
      <c r="T8">
        <v>1E-3</v>
      </c>
      <c r="U8" s="1">
        <v>7.1100000000000004E-4</v>
      </c>
      <c r="V8" s="1">
        <v>4.2202E-4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19ABAAD7DE764EBA35B6BF2D6D9CB6" ma:contentTypeVersion="9" ma:contentTypeDescription="Create a new document." ma:contentTypeScope="" ma:versionID="46046f3f1e7690b8d96ffeafe6fdd9d4">
  <xsd:schema xmlns:xsd="http://www.w3.org/2001/XMLSchema" xmlns:xs="http://www.w3.org/2001/XMLSchema" xmlns:p="http://schemas.microsoft.com/office/2006/metadata/properties" xmlns:ns3="ee9002b3-532f-4754-93e2-99c14e06124b" targetNamespace="http://schemas.microsoft.com/office/2006/metadata/properties" ma:root="true" ma:fieldsID="8d73bf6a5156ead0f8a584ba231c7595" ns3:_="">
    <xsd:import namespace="ee9002b3-532f-4754-93e2-99c14e06124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9002b3-532f-4754-93e2-99c14e06124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e9002b3-532f-4754-93e2-99c14e06124b" xsi:nil="true"/>
  </documentManagement>
</p:properties>
</file>

<file path=customXml/itemProps1.xml><?xml version="1.0" encoding="utf-8"?>
<ds:datastoreItem xmlns:ds="http://schemas.openxmlformats.org/officeDocument/2006/customXml" ds:itemID="{6515E2A8-AFFB-45CF-A615-505BDAEFC9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672AB2-B733-458F-8C6B-5906FB0631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9002b3-532f-4754-93e2-99c14e0612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F55138-2431-4216-BACD-65C0706D992A}">
  <ds:schemaRefs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infopath/2007/PartnerControls"/>
    <ds:schemaRef ds:uri="ee9002b3-532f-4754-93e2-99c14e06124b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Vijay, Abhinav</dc:creator>
  <cp:lastModifiedBy>Vijay, Abhinav</cp:lastModifiedBy>
  <dcterms:created xsi:type="dcterms:W3CDTF">2025-11-25T09:24:23Z</dcterms:created>
  <dcterms:modified xsi:type="dcterms:W3CDTF">2025-11-25T15:59:53Z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0x0101004E19ABAAD7DE764EBA35B6BF2D6D9CB6</vt:lpwstr>
  </property>
</Properties>
</file>