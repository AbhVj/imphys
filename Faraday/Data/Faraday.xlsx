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rew\Documents\GitHub\imphys\Faraday\Data\"/>
    </mc:Choice>
  </mc:AlternateContent>
  <xr:revisionPtr revIDLastSave="0" documentId="8_{98307808-B423-4008-AB29-3D02584DA6E9}" xr6:coauthVersionLast="47" xr6:coauthVersionMax="47" xr10:uidLastSave="{00000000-0000-0000-0000-000000000000}"/>
  <bookViews>
    <workbookView xWindow="12690" yWindow="5340" windowWidth="20985" windowHeight="12390" xr2:uid="{62B883B4-393E-4E99-94EE-34504E2FDD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2" i="1"/>
  <c r="O3" i="1"/>
  <c r="O4" i="1"/>
  <c r="O5" i="1"/>
  <c r="O6" i="1"/>
  <c r="O2" i="1"/>
  <c r="L2" i="1"/>
  <c r="L3" i="1"/>
  <c r="L4" i="1"/>
  <c r="L5" i="1"/>
  <c r="L6" i="1"/>
  <c r="M6" i="1" s="1"/>
  <c r="M2" i="1"/>
  <c r="M3" i="1"/>
  <c r="M4" i="1"/>
  <c r="M5" i="1"/>
  <c r="K3" i="1"/>
  <c r="K4" i="1"/>
  <c r="K5" i="1"/>
  <c r="K6" i="1"/>
  <c r="K2" i="1"/>
</calcChain>
</file>

<file path=xl/sharedStrings.xml><?xml version="1.0" encoding="utf-8"?>
<sst xmlns="http://schemas.openxmlformats.org/spreadsheetml/2006/main" count="15" uniqueCount="15">
  <si>
    <t>P_p</t>
  </si>
  <si>
    <t>P_s</t>
  </si>
  <si>
    <t>V_p</t>
  </si>
  <si>
    <t>R_p</t>
  </si>
  <si>
    <t>V_su</t>
  </si>
  <si>
    <t>V_r</t>
  </si>
  <si>
    <t>I_p</t>
  </si>
  <si>
    <t>V_s</t>
  </si>
  <si>
    <t>I_s</t>
  </si>
  <si>
    <t>sV_su</t>
  </si>
  <si>
    <t>sV_p</t>
  </si>
  <si>
    <t>sI_s</t>
  </si>
  <si>
    <t>sI_p</t>
  </si>
  <si>
    <t>sP_s</t>
  </si>
  <si>
    <t>sP_p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</si>
</sst>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1" fontId="0" fillId="0" borderId="0" xfId="0" applyNumberForma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E56D8-7727-44C5-B4AA-2A0A362D38E1}">
  <dimension ref="A1:O7"/>
  <sheetViews>
    <sheetView tabSelected="1" workbookViewId="0">
      <selection activeCell="L2" sqref="L2"/>
    </sheetView>
  </sheetViews>
  <sheetFormatPr defaultRowHeight="15" x14ac:dyDescent="0.25"/>
  <cols>
    <col min="9" max="9" width="11.5703125" bestFit="1" customWidth="1"/>
    <col min="12" max="12" width="24.7109375" customWidth="1"/>
  </cols>
  <sheetData>
    <row r="1" spans="1:15" x14ac:dyDescent="0.25">
      <c r="A1" t="s">
        <v>4</v>
      </c>
      <c r="B1" t="s">
        <v>9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H1" t="s">
        <v>8</v>
      </c>
      <c r="I1" t="s">
        <v>0</v>
      </c>
      <c r="J1" t="s">
        <v>1</v>
      </c>
      <c r="K1" t="s">
        <v>10</v>
      </c>
      <c r="L1" t="s">
        <v>11</v>
      </c>
      <c r="M1" t="s">
        <v>13</v>
      </c>
      <c r="N1" t="s">
        <v>14</v>
      </c>
      <c r="O1" t="s">
        <v>12</v>
      </c>
    </row>
    <row r="2" spans="1:15" x14ac:dyDescent="0.25">
      <c r="A2" s="1">
        <v>0.77500000000000002</v>
      </c>
      <c r="B2" s="1">
        <v>0.5</v>
      </c>
      <c r="C2" s="1">
        <v>3.2157679999999999E-3</v>
      </c>
      <c r="D2" s="1">
        <v>7.4999999999999997E-2</v>
      </c>
      <c r="E2" s="1">
        <v>1.0640000000000001</v>
      </c>
      <c r="F2" s="1">
        <v>5.9111111000000001E-2</v>
      </c>
      <c r="G2" s="3">
        <v>7.3000000000000001E-3</v>
      </c>
      <c r="H2" s="3">
        <v>2.7E-4</v>
      </c>
      <c r="I2" s="1">
        <v>1.9008799999999999E-4</v>
      </c>
      <c r="J2" s="3">
        <v>1.9700000000000002E-6</v>
      </c>
      <c r="K2">
        <f>SQRT((B2/A2)^2 + (18*0.4/(D2*(18+D2)))^2)*C2</f>
        <v>1.7205144328557742E-2</v>
      </c>
      <c r="L2" s="2">
        <f>(0.0001/G2)*H2</f>
        <v>3.6986301369863018E-6</v>
      </c>
      <c r="M2" s="2">
        <f>SQRT((L2/H2)^2+(0.0001/G2)^2)*L2</f>
        <v>7.1652779478464208E-8</v>
      </c>
      <c r="N2">
        <f>SQRT((K2/C2)^2+(O2/F2)^2)*I2</f>
        <v>1.4382795648660068E-3</v>
      </c>
      <c r="O2">
        <f>(K2/C2)*F2</f>
        <v>0.31625888315836131</v>
      </c>
    </row>
    <row r="3" spans="1:15" x14ac:dyDescent="0.25">
      <c r="A3" s="1">
        <v>1.1879999999999999</v>
      </c>
      <c r="B3" s="1">
        <v>0.14499999999999999</v>
      </c>
      <c r="C3" s="1">
        <v>7.0758620999999994E-2</v>
      </c>
      <c r="D3" s="1">
        <v>1.1399999999999999</v>
      </c>
      <c r="E3" s="1">
        <v>1.0629999999999999</v>
      </c>
      <c r="F3" s="1">
        <v>5.9055556000000002E-2</v>
      </c>
      <c r="G3" s="1">
        <v>1.0999999999999999E-2</v>
      </c>
      <c r="H3" s="1">
        <v>4.0740699999999998E-4</v>
      </c>
      <c r="I3" s="1">
        <v>4.1786899999999997E-3</v>
      </c>
      <c r="J3" s="3">
        <v>4.4800000000000003E-6</v>
      </c>
      <c r="K3">
        <f t="shared" ref="K3:K6" si="0">SQRT((B3/A3)^2 + (18*0.4/(D3*(18+D3)))^2)*C3</f>
        <v>2.4894869185335476E-2</v>
      </c>
      <c r="L3" s="2">
        <f t="shared" ref="L3:L6" si="1">(0.0001/G3)*H3</f>
        <v>3.7037000000000002E-6</v>
      </c>
      <c r="M3" s="2">
        <f t="shared" ref="M3:M6" si="2">SQRT((L3/H3)^2+(0.0001/G3)^2)*L3</f>
        <v>4.7616570645102123E-8</v>
      </c>
      <c r="N3">
        <f t="shared" ref="N3:N6" si="3">SQRT((K3/C3)^2+(O3/F3)^2)*I3</f>
        <v>2.0791491245886846E-3</v>
      </c>
      <c r="O3">
        <f t="shared" ref="O3:O6" si="4">(K3/C3)*F3</f>
        <v>2.0777402392950166E-2</v>
      </c>
    </row>
    <row r="4" spans="1:15" x14ac:dyDescent="0.25">
      <c r="A4" s="1">
        <v>1.5961000000000001</v>
      </c>
      <c r="B4" s="1">
        <v>0.81599999999999995</v>
      </c>
      <c r="C4" s="1">
        <v>0.109050311</v>
      </c>
      <c r="D4" s="1">
        <v>1.32</v>
      </c>
      <c r="E4" s="1">
        <v>1.883</v>
      </c>
      <c r="F4" s="1">
        <v>0.10461111100000001</v>
      </c>
      <c r="G4" s="1">
        <v>1.2999999999999999E-2</v>
      </c>
      <c r="H4" s="1">
        <v>4.8148100000000002E-4</v>
      </c>
      <c r="I4" s="1">
        <v>1.1407874E-2</v>
      </c>
      <c r="J4" s="3">
        <v>6.2600000000000002E-6</v>
      </c>
      <c r="K4">
        <f t="shared" si="0"/>
        <v>6.368769866615101E-2</v>
      </c>
      <c r="L4" s="2">
        <f t="shared" si="1"/>
        <v>3.7037000000000002E-6</v>
      </c>
      <c r="M4" s="2">
        <f t="shared" si="2"/>
        <v>4.0290944392009484E-8</v>
      </c>
      <c r="N4">
        <f t="shared" si="3"/>
        <v>9.4221141440191791E-3</v>
      </c>
      <c r="O4">
        <f t="shared" si="4"/>
        <v>6.1095111544425366E-2</v>
      </c>
    </row>
    <row r="5" spans="1:15" x14ac:dyDescent="0.25">
      <c r="A5" s="1">
        <v>1.8674999999999999</v>
      </c>
      <c r="B5" s="1">
        <v>0.72</v>
      </c>
      <c r="C5" s="1">
        <v>0.12939245099999999</v>
      </c>
      <c r="D5" s="1">
        <v>1.34</v>
      </c>
      <c r="E5" s="1">
        <v>1.996</v>
      </c>
      <c r="F5" s="1">
        <v>0.110888889</v>
      </c>
      <c r="G5" s="1">
        <v>1.4E-2</v>
      </c>
      <c r="H5" s="1">
        <v>5.1851899999999995E-4</v>
      </c>
      <c r="I5" s="1">
        <v>1.4348184999999999E-2</v>
      </c>
      <c r="J5" s="3">
        <v>7.2599999999999999E-6</v>
      </c>
      <c r="K5">
        <f t="shared" si="0"/>
        <v>6.1489256005917405E-2</v>
      </c>
      <c r="L5" s="2">
        <f t="shared" si="1"/>
        <v>3.7037071428571424E-6</v>
      </c>
      <c r="M5" s="2">
        <f t="shared" si="2"/>
        <v>3.7413091946333404E-8</v>
      </c>
      <c r="N5">
        <f t="shared" si="3"/>
        <v>9.6427801295905433E-3</v>
      </c>
      <c r="O5">
        <f t="shared" si="4"/>
        <v>5.2696082586245772E-2</v>
      </c>
    </row>
    <row r="6" spans="1:15" x14ac:dyDescent="0.25">
      <c r="A6" s="1">
        <v>2.4066999999999998</v>
      </c>
      <c r="B6" s="1">
        <v>0.221</v>
      </c>
      <c r="C6" s="1">
        <v>0.178274074</v>
      </c>
      <c r="D6" s="1">
        <v>1.44</v>
      </c>
      <c r="E6" s="1">
        <v>2.3149999999999999</v>
      </c>
      <c r="F6" s="1">
        <v>0.128611111</v>
      </c>
      <c r="G6" s="1">
        <v>1.9E-2</v>
      </c>
      <c r="H6" s="1">
        <v>7.0370399999999998E-4</v>
      </c>
      <c r="I6" s="1">
        <v>2.2928027E-2</v>
      </c>
      <c r="J6" s="3">
        <v>1.34E-5</v>
      </c>
      <c r="K6">
        <f t="shared" si="0"/>
        <v>4.8687064631641477E-2</v>
      </c>
      <c r="L6" s="2">
        <f t="shared" si="1"/>
        <v>3.7037052631578953E-6</v>
      </c>
      <c r="M6" s="2">
        <f t="shared" si="2"/>
        <v>2.7567527443107946E-8</v>
      </c>
      <c r="N6">
        <f t="shared" si="3"/>
        <v>8.8553775989319364E-3</v>
      </c>
      <c r="O6">
        <f t="shared" si="4"/>
        <v>3.5123993820908674E-2</v>
      </c>
    </row>
    <row r="7" spans="1:15" x14ac:dyDescent="0.25">
      <c r="F7" s="1"/>
      <c r="H7" s="1"/>
      <c r="I7" s="1"/>
      <c r="J7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19ABAAD7DE764EBA35B6BF2D6D9CB6" ma:contentTypeVersion="9" ma:contentTypeDescription="Create a new document." ma:contentTypeScope="" ma:versionID="46046f3f1e7690b8d96ffeafe6fdd9d4">
  <xsd:schema xmlns:xsd="http://www.w3.org/2001/XMLSchema" xmlns:xs="http://www.w3.org/2001/XMLSchema" xmlns:p="http://schemas.microsoft.com/office/2006/metadata/properties" xmlns:ns3="ee9002b3-532f-4754-93e2-99c14e06124b" targetNamespace="http://schemas.microsoft.com/office/2006/metadata/properties" ma:root="true" ma:fieldsID="8d73bf6a5156ead0f8a584ba231c7595" ns3:_="">
    <xsd:import namespace="ee9002b3-532f-4754-93e2-99c14e06124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9002b3-532f-4754-93e2-99c14e06124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e9002b3-532f-4754-93e2-99c14e06124b" xsi:nil="true"/>
  </documentManagement>
</p:properties>
</file>

<file path=customXml/itemProps1.xml><?xml version="1.0" encoding="utf-8"?>
<ds:datastoreItem xmlns:ds="http://schemas.openxmlformats.org/officeDocument/2006/customXml" ds:itemID="{D1637121-48C3-41D0-89CF-821A8A99AC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9002b3-532f-4754-93e2-99c14e0612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E813E7-0CAF-4B7C-B0DE-6F7DA467E2C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5F8FE6-03D1-453D-B36A-61EDCAFFA59F}">
  <ds:schemaRefs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ee9002b3-532f-4754-93e2-99c14e06124b"/>
    <ds:schemaRef ds:uri="http://www.w3.org/XML/1998/namespace"/>
    <ds:schemaRef ds:uri="http://purl.org/dc/elements/1.1/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Vijay, Abhinav</dc:creator>
  <cp:lastModifiedBy>Vijay, Abhinav</cp:lastModifiedBy>
  <dcterms:created xsi:type="dcterms:W3CDTF">2025-11-23T17:08:37Z</dcterms:created>
  <dcterms:modified xsi:type="dcterms:W3CDTF">2025-11-23T18:21:38Z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0x0101004E19ABAAD7DE764EBA35B6BF2D6D9CB6</vt:lpwstr>
  </property>
</Properties>
</file>