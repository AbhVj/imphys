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ew\Documents\GitHub\imphys\Faraday\Data\"/>
    </mc:Choice>
  </mc:AlternateContent>
  <xr:revisionPtr revIDLastSave="0" documentId="8_{FFCB1E6E-0779-4EE0-B010-C8E0C01DF6B1}" xr6:coauthVersionLast="47" xr6:coauthVersionMax="47" xr10:uidLastSave="{00000000-0000-0000-0000-000000000000}"/>
  <bookViews>
    <workbookView xWindow="9900" yWindow="6015" windowWidth="20985" windowHeight="12390" xr2:uid="{CB27F419-75B0-417A-B05E-06DA74A53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V2" i="1"/>
  <c r="K3" i="1"/>
  <c r="K4" i="1"/>
  <c r="K5" i="1"/>
  <c r="K6" i="1"/>
  <c r="K2" i="1"/>
  <c r="V6" i="1"/>
  <c r="V4" i="1"/>
  <c r="U6" i="1"/>
  <c r="G6" i="1"/>
  <c r="U4" i="1"/>
  <c r="G4" i="1"/>
  <c r="G3" i="1"/>
  <c r="U3" i="1"/>
  <c r="H3" i="1" l="1"/>
  <c r="J3" i="1" s="1"/>
  <c r="H4" i="1"/>
  <c r="J4" i="1" s="1"/>
  <c r="H5" i="1"/>
  <c r="J5" i="1" s="1"/>
  <c r="H6" i="1"/>
  <c r="J6" i="1" s="1"/>
  <c r="F3" i="1"/>
  <c r="F4" i="1"/>
  <c r="F5" i="1"/>
  <c r="L5" i="1" s="1"/>
  <c r="C3" i="1"/>
  <c r="C4" i="1"/>
  <c r="C5" i="1"/>
  <c r="C6" i="1"/>
  <c r="F6" i="1"/>
  <c r="I6" i="1" s="1"/>
  <c r="H2" i="1"/>
  <c r="J2" i="1" s="1"/>
  <c r="F2" i="1"/>
  <c r="C2" i="1"/>
  <c r="I2" i="1" s="1"/>
  <c r="M5" i="1" l="1"/>
  <c r="I4" i="1"/>
  <c r="I3" i="1"/>
  <c r="O4" i="1"/>
  <c r="N4" i="1" s="1"/>
  <c r="O3" i="1"/>
  <c r="L3" i="1"/>
  <c r="M3" i="1" s="1"/>
  <c r="L6" i="1"/>
  <c r="M6" i="1" s="1"/>
  <c r="O5" i="1"/>
  <c r="O6" i="1"/>
  <c r="N6" i="1" s="1"/>
  <c r="I5" i="1"/>
  <c r="O2" i="1"/>
  <c r="L4" i="1"/>
  <c r="M4" i="1" s="1"/>
  <c r="L2" i="1"/>
  <c r="M2" i="1" s="1"/>
  <c r="N5" i="1" l="1"/>
  <c r="N3" i="1"/>
  <c r="N2" i="1"/>
</calcChain>
</file>

<file path=xl/sharedStrings.xml><?xml version="1.0" encoding="utf-8"?>
<sst xmlns="http://schemas.openxmlformats.org/spreadsheetml/2006/main" count="23" uniqueCount="23">
  <si>
    <t>V_p</t>
  </si>
  <si>
    <t>I_p</t>
  </si>
  <si>
    <t>I_s</t>
  </si>
  <si>
    <t>P_p</t>
  </si>
  <si>
    <t>P_s</t>
  </si>
  <si>
    <t>sV_p</t>
  </si>
  <si>
    <t>sI_s</t>
  </si>
  <si>
    <t>sP_s</t>
  </si>
  <si>
    <t>sP_p</t>
  </si>
  <si>
    <t>sI_p</t>
  </si>
  <si>
    <t>R18</t>
  </si>
  <si>
    <t>R27</t>
  </si>
  <si>
    <t>sR18</t>
  </si>
  <si>
    <t>sR27</t>
  </si>
  <si>
    <t>wavecounts: around 200</t>
  </si>
  <si>
    <t>V_r (C1)</t>
  </si>
  <si>
    <t>V_su (C3)</t>
  </si>
  <si>
    <t>V_s (C2/voltmeter)</t>
  </si>
  <si>
    <t>sV_r (C1)</t>
  </si>
  <si>
    <t>sV_s (C2)</t>
  </si>
  <si>
    <t>R_p (ohmmeter)</t>
  </si>
  <si>
    <t>sV_su (C3)</t>
  </si>
  <si>
    <t>sR_p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</si>
</sst>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CEA5-97CB-4C9D-8D8B-4DBAFFF96CF4}">
  <dimension ref="A1:X8"/>
  <sheetViews>
    <sheetView tabSelected="1" topLeftCell="E1" zoomScale="115" zoomScaleNormal="115" workbookViewId="0">
      <selection activeCell="U2" sqref="U2"/>
    </sheetView>
  </sheetViews>
  <sheetFormatPr defaultRowHeight="15" x14ac:dyDescent="0.25"/>
  <cols>
    <col min="1" max="1" width="13.28515625" customWidth="1"/>
  </cols>
  <sheetData>
    <row r="1" spans="1:24" x14ac:dyDescent="0.25">
      <c r="A1" t="s">
        <v>16</v>
      </c>
      <c r="B1" t="s">
        <v>21</v>
      </c>
      <c r="C1" s="2" t="s">
        <v>0</v>
      </c>
      <c r="D1" t="s">
        <v>20</v>
      </c>
      <c r="E1" t="s">
        <v>15</v>
      </c>
      <c r="F1" s="2" t="s">
        <v>1</v>
      </c>
      <c r="G1" t="s">
        <v>17</v>
      </c>
      <c r="H1" s="2" t="s">
        <v>2</v>
      </c>
      <c r="I1" s="2" t="s">
        <v>3</v>
      </c>
      <c r="J1" s="2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22</v>
      </c>
      <c r="S1" t="s">
        <v>12</v>
      </c>
      <c r="T1" t="s">
        <v>13</v>
      </c>
      <c r="U1" t="s">
        <v>19</v>
      </c>
      <c r="V1" t="s">
        <v>18</v>
      </c>
      <c r="X1" t="s">
        <v>14</v>
      </c>
    </row>
    <row r="2" spans="1:24" x14ac:dyDescent="0.25">
      <c r="A2">
        <v>2.4093</v>
      </c>
      <c r="B2" s="1">
        <v>1.7998E-2</v>
      </c>
      <c r="C2">
        <f t="shared" ref="C2:C6" si="0">A2*(D2/($P$2+D2))</f>
        <v>0.13498559308468067</v>
      </c>
      <c r="D2">
        <v>1.05</v>
      </c>
      <c r="E2" s="1">
        <v>2.2345000000000002</v>
      </c>
      <c r="F2">
        <f t="shared" ref="F2:F6" si="1">E2/$P$2</f>
        <v>0.12630716183370078</v>
      </c>
      <c r="G2" s="1">
        <v>8.5389000000000007E-2</v>
      </c>
      <c r="H2" s="1">
        <f t="shared" ref="H2:H6" si="2">G2/$Q$2</f>
        <v>3.2463597308291831E-3</v>
      </c>
      <c r="I2">
        <f t="shared" ref="I2:I6" si="3">C2*F2</f>
        <v>1.7049647150964842E-2</v>
      </c>
      <c r="J2">
        <f t="shared" ref="J2:J6" si="4">H2*G2</f>
        <v>2.7720341105577314E-4</v>
      </c>
      <c r="K2" s="1">
        <f>SQRT((B2/A2)^2+($P$2*$R$2/(D2*($P$2+D2)))^2+($S$2/($P$2+D2))^2)*C2</f>
        <v>7.1606561799868115E-2</v>
      </c>
      <c r="L2" s="1">
        <f t="shared" ref="L2:L6" si="5">SQRT((U2/E2)^2+ ($S$2/$P$2)^2)*F2</f>
        <v>4.8373321700097841E-5</v>
      </c>
      <c r="M2" s="1">
        <f t="shared" ref="M2:M6" si="6">SQRT((U2/G2)^2 +(L2/H2)^2)*J2</f>
        <v>4.9609876783793344E-6</v>
      </c>
      <c r="N2">
        <f t="shared" ref="N2:N6" si="7">SQRT((K2/C2)^2+(O2/F2)^2)*I2</f>
        <v>9.0444217241371586E-3</v>
      </c>
      <c r="O2">
        <f t="shared" ref="O2:O6" si="8">SQRT((V2/E2)^2 +($S$2/$P$2)^2)*F2</f>
        <v>1.1556374592777821E-5</v>
      </c>
      <c r="P2">
        <v>17.690999999999999</v>
      </c>
      <c r="Q2">
        <v>26.303000000000001</v>
      </c>
      <c r="R2">
        <v>0.59</v>
      </c>
      <c r="S2">
        <v>1E-3</v>
      </c>
      <c r="T2">
        <v>1E-3</v>
      </c>
      <c r="U2" s="1">
        <f>846.4/10^6</f>
        <v>8.4639999999999997E-4</v>
      </c>
      <c r="V2" s="1">
        <f>160.76/10^6</f>
        <v>1.6076E-4</v>
      </c>
    </row>
    <row r="3" spans="1:24" x14ac:dyDescent="0.25">
      <c r="A3">
        <v>1.9724999999999999</v>
      </c>
      <c r="B3" s="1">
        <v>1.5822E-3</v>
      </c>
      <c r="C3">
        <f t="shared" si="0"/>
        <v>0.1035322157356328</v>
      </c>
      <c r="D3">
        <v>0.98</v>
      </c>
      <c r="E3" s="1">
        <v>1.8290999999999999</v>
      </c>
      <c r="F3">
        <f t="shared" si="1"/>
        <v>0.10339155502798034</v>
      </c>
      <c r="G3" s="1">
        <f>70.381/1000</f>
        <v>7.0380999999999999E-2</v>
      </c>
      <c r="H3" s="1">
        <f t="shared" si="2"/>
        <v>2.6757784283161614E-3</v>
      </c>
      <c r="I3">
        <f t="shared" si="3"/>
        <v>1.070435678039941E-2</v>
      </c>
      <c r="J3">
        <f t="shared" si="4"/>
        <v>1.8832396156331975E-4</v>
      </c>
      <c r="K3" s="1">
        <f t="shared" ref="K3:K6" si="9">SQRT((B3/A3)^2+($P$2*$R$2/(D3*($P$2+D3)))^2+($S$2/($P$2+D3))^2)*C3</f>
        <v>5.9059080270896187E-2</v>
      </c>
      <c r="L3" s="1">
        <f t="shared" si="5"/>
        <v>2.5642383034149808E-5</v>
      </c>
      <c r="M3" s="1">
        <f t="shared" si="6"/>
        <v>2.1572995091857212E-6</v>
      </c>
      <c r="N3">
        <f t="shared" si="7"/>
        <v>6.1062107295176181E-3</v>
      </c>
      <c r="O3">
        <f t="shared" si="8"/>
        <v>2.574586624964556E-5</v>
      </c>
      <c r="P3">
        <v>17.690999999999999</v>
      </c>
      <c r="Q3">
        <v>26.303000000000001</v>
      </c>
      <c r="R3">
        <v>0.3</v>
      </c>
      <c r="S3">
        <v>1E-3</v>
      </c>
      <c r="T3">
        <v>1E-3</v>
      </c>
      <c r="U3" s="1">
        <f>441.7/1000000</f>
        <v>4.417E-4</v>
      </c>
      <c r="V3" s="1">
        <v>4.4358000000000001E-4</v>
      </c>
    </row>
    <row r="4" spans="1:24" x14ac:dyDescent="0.25">
      <c r="A4" s="3">
        <v>1.6446000000000001</v>
      </c>
      <c r="B4" s="1">
        <v>1.7983000000000001E-3</v>
      </c>
      <c r="C4">
        <f t="shared" si="0"/>
        <v>8.7155612654568823E-2</v>
      </c>
      <c r="D4">
        <v>0.99</v>
      </c>
      <c r="E4">
        <v>1.5956999999999999</v>
      </c>
      <c r="F4">
        <f t="shared" si="1"/>
        <v>9.0198405969136849E-2</v>
      </c>
      <c r="G4" s="1">
        <f>58.58/1000</f>
        <v>5.858E-2</v>
      </c>
      <c r="H4" s="1">
        <f t="shared" si="2"/>
        <v>2.2271223814773981E-3</v>
      </c>
      <c r="I4">
        <f t="shared" si="3"/>
        <v>7.8612973327056388E-3</v>
      </c>
      <c r="J4">
        <f t="shared" si="4"/>
        <v>1.3046482910694597E-4</v>
      </c>
      <c r="K4" s="1">
        <f t="shared" si="9"/>
        <v>4.9188689969064524E-2</v>
      </c>
      <c r="L4" s="1">
        <f t="shared" si="5"/>
        <v>2.3905967748103427E-5</v>
      </c>
      <c r="M4" s="1">
        <f t="shared" si="6"/>
        <v>1.6756986948515923E-6</v>
      </c>
      <c r="N4">
        <f t="shared" si="7"/>
        <v>4.4367418741434062E-3</v>
      </c>
      <c r="O4" s="1">
        <f t="shared" si="8"/>
        <v>2.2856731205975068E-5</v>
      </c>
      <c r="P4">
        <v>17.690999999999999</v>
      </c>
      <c r="Q4">
        <v>26.303000000000001</v>
      </c>
      <c r="R4">
        <v>0.33</v>
      </c>
      <c r="S4">
        <v>1E-3</v>
      </c>
      <c r="T4">
        <v>1E-3</v>
      </c>
      <c r="U4" s="1">
        <f>413.19/1000000</f>
        <v>4.1319000000000002E-4</v>
      </c>
      <c r="V4" s="1">
        <f>394.17/1000000</f>
        <v>3.9417E-4</v>
      </c>
    </row>
    <row r="5" spans="1:24" x14ac:dyDescent="0.25">
      <c r="A5">
        <v>1.3492</v>
      </c>
      <c r="B5" s="1">
        <v>1.4848999999999999E-3</v>
      </c>
      <c r="C5">
        <f t="shared" si="0"/>
        <v>7.2867333297684606E-2</v>
      </c>
      <c r="D5">
        <v>1.01</v>
      </c>
      <c r="E5">
        <v>1.2494000000000001</v>
      </c>
      <c r="F5">
        <f t="shared" si="1"/>
        <v>7.0623480865977056E-2</v>
      </c>
      <c r="G5" s="1">
        <v>4.7899999999999998E-2</v>
      </c>
      <c r="H5" s="1">
        <f t="shared" si="2"/>
        <v>1.8210850473330037E-3</v>
      </c>
      <c r="I5">
        <f t="shared" si="3"/>
        <v>5.146144718903802E-3</v>
      </c>
      <c r="J5">
        <f t="shared" si="4"/>
        <v>8.7229973767250876E-5</v>
      </c>
      <c r="K5" s="1">
        <f t="shared" si="9"/>
        <v>4.0267246154236401E-2</v>
      </c>
      <c r="L5" s="1">
        <f t="shared" si="5"/>
        <v>2.3253490574547611E-5</v>
      </c>
      <c r="M5" s="1">
        <f t="shared" si="6"/>
        <v>1.3361640627494157E-6</v>
      </c>
      <c r="N5">
        <f t="shared" si="7"/>
        <v>2.8438140627019075E-3</v>
      </c>
      <c r="O5" s="1">
        <f t="shared" si="8"/>
        <v>3.2307392014475827E-5</v>
      </c>
      <c r="P5">
        <v>17.690999999999999</v>
      </c>
      <c r="Q5">
        <v>26.303000000000001</v>
      </c>
      <c r="R5">
        <v>0.28999999999999998</v>
      </c>
      <c r="S5">
        <v>1E-3</v>
      </c>
      <c r="T5">
        <v>1E-3</v>
      </c>
      <c r="U5" s="1">
        <v>4.0527E-4</v>
      </c>
      <c r="V5" s="1">
        <v>5.6716999999999998E-4</v>
      </c>
    </row>
    <row r="6" spans="1:24" x14ac:dyDescent="0.25">
      <c r="A6">
        <v>1.0187999999999999</v>
      </c>
      <c r="B6" s="1">
        <v>1.6159E-3</v>
      </c>
      <c r="C6">
        <f t="shared" si="0"/>
        <v>5.7080198495277734E-2</v>
      </c>
      <c r="D6">
        <v>1.05</v>
      </c>
      <c r="E6" s="1">
        <v>0.94037999999999999</v>
      </c>
      <c r="F6">
        <f t="shared" si="1"/>
        <v>5.3155841953535697E-2</v>
      </c>
      <c r="G6" s="1">
        <f>36.273/1000</f>
        <v>3.6273000000000007E-2</v>
      </c>
      <c r="H6" s="1">
        <f t="shared" si="2"/>
        <v>1.3790442154887278E-3</v>
      </c>
      <c r="I6">
        <f t="shared" si="3"/>
        <v>3.0341460098914294E-3</v>
      </c>
      <c r="J6">
        <f t="shared" si="4"/>
        <v>5.0022070828422632E-5</v>
      </c>
      <c r="K6" s="1">
        <f t="shared" si="9"/>
        <v>3.0276784723291761E-2</v>
      </c>
      <c r="L6" s="1">
        <f t="shared" si="5"/>
        <v>2.5304790942583456E-5</v>
      </c>
      <c r="M6" s="1">
        <f t="shared" si="6"/>
        <v>1.1037462321081258E-6</v>
      </c>
      <c r="N6">
        <f t="shared" si="7"/>
        <v>1.6093886089260346E-3</v>
      </c>
      <c r="O6" s="1">
        <f t="shared" si="8"/>
        <v>2.485471855270845E-5</v>
      </c>
      <c r="P6">
        <v>17.690999999999999</v>
      </c>
      <c r="Q6">
        <v>26.303000000000001</v>
      </c>
      <c r="R6">
        <v>0.21</v>
      </c>
      <c r="S6">
        <v>1E-3</v>
      </c>
      <c r="T6">
        <v>1E-3</v>
      </c>
      <c r="U6" s="1">
        <f>444.5/1000000</f>
        <v>4.4450000000000002E-4</v>
      </c>
      <c r="V6" s="1">
        <f>436.48/10^6</f>
        <v>4.3648E-4</v>
      </c>
    </row>
    <row r="7" spans="1:24" x14ac:dyDescent="0.25">
      <c r="A7" s="1"/>
      <c r="B7" s="1"/>
      <c r="E7" s="1"/>
      <c r="G7" s="1"/>
      <c r="H7" s="1"/>
      <c r="L7" s="1"/>
      <c r="M7" s="1"/>
      <c r="O7" s="1"/>
      <c r="U7" s="1"/>
      <c r="V7" s="1"/>
    </row>
    <row r="8" spans="1:24" x14ac:dyDescent="0.25">
      <c r="A8" s="1"/>
      <c r="B8" s="1"/>
      <c r="E8" s="1"/>
      <c r="G8" s="1"/>
      <c r="H8" s="1"/>
      <c r="L8" s="1"/>
      <c r="M8" s="1"/>
      <c r="O8" s="1"/>
      <c r="U8" s="1"/>
      <c r="V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9002b3-532f-4754-93e2-99c14e0612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19ABAAD7DE764EBA35B6BF2D6D9CB6" ma:contentTypeVersion="9" ma:contentTypeDescription="Create a new document." ma:contentTypeScope="" ma:versionID="46046f3f1e7690b8d96ffeafe6fdd9d4">
  <xsd:schema xmlns:xsd="http://www.w3.org/2001/XMLSchema" xmlns:xs="http://www.w3.org/2001/XMLSchema" xmlns:p="http://schemas.microsoft.com/office/2006/metadata/properties" xmlns:ns3="ee9002b3-532f-4754-93e2-99c14e06124b" targetNamespace="http://schemas.microsoft.com/office/2006/metadata/properties" ma:root="true" ma:fieldsID="8d73bf6a5156ead0f8a584ba231c7595" ns3:_="">
    <xsd:import namespace="ee9002b3-532f-4754-93e2-99c14e06124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002b3-532f-4754-93e2-99c14e06124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F55138-2431-4216-BACD-65C0706D992A}">
  <ds:schemaRefs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ee9002b3-532f-4754-93e2-99c14e06124b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F672AB2-B733-458F-8C6B-5906FB0631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002b3-532f-4754-93e2-99c14e0612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15E2A8-AFFB-45CF-A615-505BDAEFC9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Vijay, Abhinav</dc:creator>
  <cp:lastModifiedBy>Vijay, Abhinav</cp:lastModifiedBy>
  <dcterms:created xsi:type="dcterms:W3CDTF">2025-11-25T09:24:23Z</dcterms:created>
  <dcterms:modified xsi:type="dcterms:W3CDTF">2025-11-26T18:39:40Z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0x0101004E19ABAAD7DE764EBA35B6BF2D6D9CB6</vt:lpwstr>
  </property>
</Properties>
</file>