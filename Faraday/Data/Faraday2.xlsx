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irew\Documents\GitHub\imphys\Faraday\Data\"/>
    </mc:Choice>
  </mc:AlternateContent>
  <xr:revisionPtr revIDLastSave="0" documentId="13_ncr:1_{5CAF20C2-9413-4FBB-96A7-B7ABED9B5401}" xr6:coauthVersionLast="47" xr6:coauthVersionMax="47" xr10:uidLastSave="{00000000-0000-0000-0000-000000000000}"/>
  <bookViews>
    <workbookView xWindow="6750" yWindow="5100" windowWidth="20985" windowHeight="12390" xr2:uid="{CB27F419-75B0-417A-B05E-06DA74A53A5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" i="1" l="1"/>
  <c r="V6" i="1"/>
  <c r="V5" i="1"/>
  <c r="V4" i="1"/>
  <c r="V3" i="1"/>
  <c r="K2" i="1" l="1"/>
  <c r="U3" i="1"/>
  <c r="O7" i="1"/>
  <c r="L3" i="1"/>
  <c r="M3" i="1" s="1"/>
  <c r="O3" i="1"/>
  <c r="L6" i="1"/>
  <c r="O6" i="1"/>
  <c r="J3" i="1"/>
  <c r="J4" i="1"/>
  <c r="J5" i="1"/>
  <c r="J6" i="1"/>
  <c r="M6" i="1" s="1"/>
  <c r="I3" i="1"/>
  <c r="I4" i="1"/>
  <c r="H3" i="1"/>
  <c r="H4" i="1"/>
  <c r="H5" i="1"/>
  <c r="H6" i="1"/>
  <c r="F3" i="1"/>
  <c r="F4" i="1"/>
  <c r="L4" i="1" s="1"/>
  <c r="M4" i="1" s="1"/>
  <c r="F5" i="1"/>
  <c r="L5" i="1" s="1"/>
  <c r="M5" i="1" s="1"/>
  <c r="C3" i="1"/>
  <c r="K3" i="1" s="1"/>
  <c r="C4" i="1"/>
  <c r="K4" i="1" s="1"/>
  <c r="C5" i="1"/>
  <c r="I5" i="1" s="1"/>
  <c r="C6" i="1"/>
  <c r="I6" i="1" s="1"/>
  <c r="C7" i="1"/>
  <c r="I7" i="1" s="1"/>
  <c r="H7" i="1"/>
  <c r="J7" i="1" s="1"/>
  <c r="F7" i="1"/>
  <c r="L7" i="1" s="1"/>
  <c r="M7" i="1" s="1"/>
  <c r="F6" i="1"/>
  <c r="H2" i="1"/>
  <c r="B4" i="1"/>
  <c r="U2" i="1"/>
  <c r="V2" i="1"/>
  <c r="O2" i="1" s="1"/>
  <c r="B2" i="1"/>
  <c r="F2" i="1"/>
  <c r="C2" i="1"/>
  <c r="J2" i="1"/>
  <c r="L2" i="1"/>
  <c r="M2" i="1" s="1"/>
  <c r="I2" i="1"/>
  <c r="N2" i="1" l="1"/>
  <c r="N3" i="1"/>
  <c r="O4" i="1"/>
  <c r="N4" i="1" s="1"/>
  <c r="K7" i="1"/>
  <c r="N7" i="1" s="1"/>
  <c r="K6" i="1"/>
  <c r="O5" i="1"/>
  <c r="N6" i="1"/>
  <c r="K5" i="1"/>
  <c r="N5" i="1" l="1"/>
</calcChain>
</file>

<file path=xl/sharedStrings.xml><?xml version="1.0" encoding="utf-8"?>
<sst xmlns="http://schemas.openxmlformats.org/spreadsheetml/2006/main" count="24" uniqueCount="24">
  <si>
    <t>V_su (C3)</t>
  </si>
  <si>
    <t>sV_su (C3)</t>
  </si>
  <si>
    <t>V_p</t>
  </si>
  <si>
    <t>R_p (ohmmeter)</t>
  </si>
  <si>
    <t>V_r (C1)</t>
  </si>
  <si>
    <t>I_p</t>
  </si>
  <si>
    <t>V_s (C2/voltmeter)</t>
  </si>
  <si>
    <t>I_s</t>
  </si>
  <si>
    <t>P_p</t>
  </si>
  <si>
    <t>P_s</t>
  </si>
  <si>
    <t>sV_p</t>
  </si>
  <si>
    <t>sI_s</t>
  </si>
  <si>
    <t>sP_s</t>
  </si>
  <si>
    <t>sP_p</t>
  </si>
  <si>
    <t>sI_p</t>
  </si>
  <si>
    <t>R18</t>
  </si>
  <si>
    <t>R27</t>
  </si>
  <si>
    <t>sR18</t>
  </si>
  <si>
    <t>sR27</t>
  </si>
  <si>
    <t>sV_s (C2)</t>
  </si>
  <si>
    <t>sV_r (C1)</t>
  </si>
  <si>
    <t>wavecounts: around 200</t>
  </si>
  <si>
    <t>sR_p</t>
  </si>
  <si>
    <t>data point removed as missing uncertainty data for Vs and V_r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</si>
</sst>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customXml" Target="../ink/ink11.xml"/><Relationship Id="rId170" Type="http://schemas.openxmlformats.org/officeDocument/2006/relationships/customXml" Target="../ink/ink86.xml"/><Relationship Id="rId268" Type="http://schemas.openxmlformats.org/officeDocument/2006/relationships/customXml" Target="../ink/ink135.xml"/><Relationship Id="rId475" Type="http://schemas.openxmlformats.org/officeDocument/2006/relationships/image" Target="../media/image237.png"/><Relationship Id="rId682" Type="http://schemas.openxmlformats.org/officeDocument/2006/relationships/image" Target="../media/image339.png"/><Relationship Id="rId128" Type="http://schemas.openxmlformats.org/officeDocument/2006/relationships/customXml" Target="../ink/ink65.xml"/><Relationship Id="rId335" Type="http://schemas.openxmlformats.org/officeDocument/2006/relationships/image" Target="../media/image167.png"/><Relationship Id="rId542" Type="http://schemas.openxmlformats.org/officeDocument/2006/relationships/customXml" Target="../ink/ink272.xml"/><Relationship Id="rId987" Type="http://schemas.openxmlformats.org/officeDocument/2006/relationships/customXml" Target="../ink/ink495.xml"/><Relationship Id="rId402" Type="http://schemas.openxmlformats.org/officeDocument/2006/relationships/customXml" Target="../ink/ink202.xml"/><Relationship Id="rId847" Type="http://schemas.openxmlformats.org/officeDocument/2006/relationships/customXml" Target="../ink/ink426.xml"/><Relationship Id="rId1032" Type="http://schemas.openxmlformats.org/officeDocument/2006/relationships/image" Target="../media/image514.png"/><Relationship Id="rId707" Type="http://schemas.openxmlformats.org/officeDocument/2006/relationships/customXml" Target="../ink/ink356.xml"/><Relationship Id="rId914" Type="http://schemas.openxmlformats.org/officeDocument/2006/relationships/image" Target="../media/image455.png"/><Relationship Id="rId43" Type="http://schemas.openxmlformats.org/officeDocument/2006/relationships/customXml" Target="../ink/ink22.xml"/><Relationship Id="rId192" Type="http://schemas.openxmlformats.org/officeDocument/2006/relationships/customXml" Target="../ink/ink97.xml"/><Relationship Id="rId497" Type="http://schemas.openxmlformats.org/officeDocument/2006/relationships/image" Target="../media/image248.png"/><Relationship Id="rId357" Type="http://schemas.openxmlformats.org/officeDocument/2006/relationships/image" Target="../media/image178.png"/><Relationship Id="rId217" Type="http://schemas.openxmlformats.org/officeDocument/2006/relationships/image" Target="../media/image108.png"/><Relationship Id="rId564" Type="http://schemas.openxmlformats.org/officeDocument/2006/relationships/customXml" Target="../ink/ink283.xml"/><Relationship Id="rId771" Type="http://schemas.openxmlformats.org/officeDocument/2006/relationships/customXml" Target="../ink/ink388.xml"/><Relationship Id="rId869" Type="http://schemas.openxmlformats.org/officeDocument/2006/relationships/customXml" Target="../ink/ink437.xml"/><Relationship Id="rId424" Type="http://schemas.openxmlformats.org/officeDocument/2006/relationships/customXml" Target="../ink/ink213.xml"/><Relationship Id="rId631" Type="http://schemas.openxmlformats.org/officeDocument/2006/relationships/image" Target="../media/image315.png"/><Relationship Id="rId729" Type="http://schemas.openxmlformats.org/officeDocument/2006/relationships/customXml" Target="../ink/ink367.xml"/><Relationship Id="rId1054" Type="http://schemas.openxmlformats.org/officeDocument/2006/relationships/image" Target="../media/image525.png"/><Relationship Id="rId936" Type="http://schemas.openxmlformats.org/officeDocument/2006/relationships/image" Target="../media/image466.png"/><Relationship Id="rId65" Type="http://schemas.openxmlformats.org/officeDocument/2006/relationships/customXml" Target="../ink/ink33.xml"/><Relationship Id="rId281" Type="http://schemas.openxmlformats.org/officeDocument/2006/relationships/image" Target="../media/image140.png"/><Relationship Id="rId141" Type="http://schemas.openxmlformats.org/officeDocument/2006/relationships/image" Target="../media/image70.png"/><Relationship Id="rId379" Type="http://schemas.openxmlformats.org/officeDocument/2006/relationships/image" Target="../media/image189.png"/><Relationship Id="rId586" Type="http://schemas.openxmlformats.org/officeDocument/2006/relationships/customXml" Target="../ink/ink294.xml"/><Relationship Id="rId793" Type="http://schemas.openxmlformats.org/officeDocument/2006/relationships/customXml" Target="../ink/ink399.xml"/><Relationship Id="rId7" Type="http://schemas.openxmlformats.org/officeDocument/2006/relationships/customXml" Target="../ink/ink4.xml"/><Relationship Id="rId239" Type="http://schemas.openxmlformats.org/officeDocument/2006/relationships/image" Target="../media/image119.png"/><Relationship Id="rId446" Type="http://schemas.openxmlformats.org/officeDocument/2006/relationships/customXml" Target="../ink/ink224.xml"/><Relationship Id="rId653" Type="http://schemas.openxmlformats.org/officeDocument/2006/relationships/customXml" Target="../ink/ink329.xml"/><Relationship Id="rId1076" Type="http://schemas.openxmlformats.org/officeDocument/2006/relationships/image" Target="../media/image536.png"/><Relationship Id="rId306" Type="http://schemas.openxmlformats.org/officeDocument/2006/relationships/customXml" Target="../ink/ink154.xml"/><Relationship Id="rId860" Type="http://schemas.openxmlformats.org/officeDocument/2006/relationships/image" Target="../media/image428.png"/><Relationship Id="rId958" Type="http://schemas.openxmlformats.org/officeDocument/2006/relationships/image" Target="../media/image477.png"/><Relationship Id="rId87" Type="http://schemas.openxmlformats.org/officeDocument/2006/relationships/image" Target="../media/image43.png"/><Relationship Id="rId513" Type="http://schemas.openxmlformats.org/officeDocument/2006/relationships/image" Target="../media/image256.png"/><Relationship Id="rId720" Type="http://schemas.openxmlformats.org/officeDocument/2006/relationships/image" Target="../media/image358.png"/><Relationship Id="rId818" Type="http://schemas.openxmlformats.org/officeDocument/2006/relationships/image" Target="../media/image407.png"/><Relationship Id="rId1003" Type="http://schemas.openxmlformats.org/officeDocument/2006/relationships/customXml" Target="../ink/ink503.xml"/><Relationship Id="rId664" Type="http://schemas.openxmlformats.org/officeDocument/2006/relationships/image" Target="../media/image330.png"/><Relationship Id="rId871" Type="http://schemas.openxmlformats.org/officeDocument/2006/relationships/customXml" Target="../ink/ink438.xml"/><Relationship Id="rId969" Type="http://schemas.openxmlformats.org/officeDocument/2006/relationships/customXml" Target="../ink/ink487.xml"/><Relationship Id="rId14" Type="http://schemas.openxmlformats.org/officeDocument/2006/relationships/image" Target="../media/image7.png"/><Relationship Id="rId317" Type="http://schemas.openxmlformats.org/officeDocument/2006/relationships/image" Target="../media/image158.png"/><Relationship Id="rId524" Type="http://schemas.openxmlformats.org/officeDocument/2006/relationships/customXml" Target="../ink/ink263.xml"/><Relationship Id="rId731" Type="http://schemas.openxmlformats.org/officeDocument/2006/relationships/customXml" Target="../ink/ink368.xml"/><Relationship Id="rId98" Type="http://schemas.openxmlformats.org/officeDocument/2006/relationships/customXml" Target="../ink/ink50.xml"/><Relationship Id="rId163" Type="http://schemas.openxmlformats.org/officeDocument/2006/relationships/image" Target="../media/image81.png"/><Relationship Id="rId370" Type="http://schemas.openxmlformats.org/officeDocument/2006/relationships/customXml" Target="../ink/ink186.xml"/><Relationship Id="rId829" Type="http://schemas.openxmlformats.org/officeDocument/2006/relationships/customXml" Target="../ink/ink417.xml"/><Relationship Id="rId1014" Type="http://schemas.openxmlformats.org/officeDocument/2006/relationships/image" Target="../media/image505.png"/><Relationship Id="rId230" Type="http://schemas.openxmlformats.org/officeDocument/2006/relationships/customXml" Target="../ink/ink116.xml"/><Relationship Id="rId468" Type="http://schemas.openxmlformats.org/officeDocument/2006/relationships/customXml" Target="../ink/ink235.xml"/><Relationship Id="rId675" Type="http://schemas.openxmlformats.org/officeDocument/2006/relationships/customXml" Target="../ink/ink340.xml"/><Relationship Id="rId882" Type="http://schemas.openxmlformats.org/officeDocument/2006/relationships/image" Target="../media/image439.png"/><Relationship Id="rId1098" Type="http://schemas.openxmlformats.org/officeDocument/2006/relationships/image" Target="../media/image1490.png"/><Relationship Id="rId25" Type="http://schemas.openxmlformats.org/officeDocument/2006/relationships/customXml" Target="../ink/ink13.xml"/><Relationship Id="rId328" Type="http://schemas.openxmlformats.org/officeDocument/2006/relationships/customXml" Target="../ink/ink165.xml"/><Relationship Id="rId535" Type="http://schemas.openxmlformats.org/officeDocument/2006/relationships/image" Target="../media/image267.png"/><Relationship Id="rId742" Type="http://schemas.openxmlformats.org/officeDocument/2006/relationships/image" Target="../media/image369.png"/><Relationship Id="rId174" Type="http://schemas.openxmlformats.org/officeDocument/2006/relationships/customXml" Target="../ink/ink88.xml"/><Relationship Id="rId381" Type="http://schemas.openxmlformats.org/officeDocument/2006/relationships/image" Target="../media/image190.png"/><Relationship Id="rId602" Type="http://schemas.openxmlformats.org/officeDocument/2006/relationships/customXml" Target="../ink/ink302.xml"/><Relationship Id="rId1025" Type="http://schemas.openxmlformats.org/officeDocument/2006/relationships/customXml" Target="../ink/ink514.xml"/><Relationship Id="rId241" Type="http://schemas.openxmlformats.org/officeDocument/2006/relationships/image" Target="../media/image120.png"/><Relationship Id="rId479" Type="http://schemas.openxmlformats.org/officeDocument/2006/relationships/image" Target="../media/image239.png"/><Relationship Id="rId686" Type="http://schemas.openxmlformats.org/officeDocument/2006/relationships/image" Target="../media/image341.png"/><Relationship Id="rId893" Type="http://schemas.openxmlformats.org/officeDocument/2006/relationships/customXml" Target="../ink/ink449.xml"/><Relationship Id="rId907" Type="http://schemas.openxmlformats.org/officeDocument/2006/relationships/customXml" Target="../ink/ink456.xml"/><Relationship Id="rId36" Type="http://schemas.openxmlformats.org/officeDocument/2006/relationships/image" Target="../media/image18.png"/><Relationship Id="rId339" Type="http://schemas.openxmlformats.org/officeDocument/2006/relationships/image" Target="../media/image169.png"/><Relationship Id="rId546" Type="http://schemas.openxmlformats.org/officeDocument/2006/relationships/customXml" Target="../ink/ink274.xml"/><Relationship Id="rId753" Type="http://schemas.openxmlformats.org/officeDocument/2006/relationships/customXml" Target="../ink/ink379.xml"/><Relationship Id="rId101" Type="http://schemas.openxmlformats.org/officeDocument/2006/relationships/image" Target="../media/image50.png"/><Relationship Id="rId185" Type="http://schemas.openxmlformats.org/officeDocument/2006/relationships/image" Target="../media/image92.png"/><Relationship Id="rId406" Type="http://schemas.openxmlformats.org/officeDocument/2006/relationships/customXml" Target="../ink/ink204.xml"/><Relationship Id="rId960" Type="http://schemas.openxmlformats.org/officeDocument/2006/relationships/image" Target="../media/image478.png"/><Relationship Id="rId1036" Type="http://schemas.openxmlformats.org/officeDocument/2006/relationships/image" Target="../media/image516.png"/><Relationship Id="rId392" Type="http://schemas.openxmlformats.org/officeDocument/2006/relationships/customXml" Target="../ink/ink197.xml"/><Relationship Id="rId613" Type="http://schemas.openxmlformats.org/officeDocument/2006/relationships/image" Target="../media/image306.png"/><Relationship Id="rId697" Type="http://schemas.openxmlformats.org/officeDocument/2006/relationships/customXml" Target="../ink/ink351.xml"/><Relationship Id="rId820" Type="http://schemas.openxmlformats.org/officeDocument/2006/relationships/image" Target="../media/image408.png"/><Relationship Id="rId918" Type="http://schemas.openxmlformats.org/officeDocument/2006/relationships/image" Target="../media/image457.png"/><Relationship Id="rId252" Type="http://schemas.openxmlformats.org/officeDocument/2006/relationships/customXml" Target="../ink/ink127.xml"/><Relationship Id="rId1103" Type="http://schemas.openxmlformats.org/officeDocument/2006/relationships/customXml" Target="../ink/ink553.xml"/><Relationship Id="rId47" Type="http://schemas.openxmlformats.org/officeDocument/2006/relationships/customXml" Target="../ink/ink24.xml"/><Relationship Id="rId112" Type="http://schemas.openxmlformats.org/officeDocument/2006/relationships/customXml" Target="../ink/ink57.xml"/><Relationship Id="rId557" Type="http://schemas.openxmlformats.org/officeDocument/2006/relationships/image" Target="../media/image278.png"/><Relationship Id="rId764" Type="http://schemas.openxmlformats.org/officeDocument/2006/relationships/image" Target="../media/image380.png"/><Relationship Id="rId971" Type="http://schemas.openxmlformats.org/officeDocument/2006/relationships/customXml" Target="../ink/ink488.xml"/><Relationship Id="rId196" Type="http://schemas.openxmlformats.org/officeDocument/2006/relationships/customXml" Target="../ink/ink99.xml"/><Relationship Id="rId417" Type="http://schemas.openxmlformats.org/officeDocument/2006/relationships/image" Target="../media/image208.png"/><Relationship Id="rId624" Type="http://schemas.openxmlformats.org/officeDocument/2006/relationships/customXml" Target="../ink/ink313.xml"/><Relationship Id="rId831" Type="http://schemas.openxmlformats.org/officeDocument/2006/relationships/customXml" Target="../ink/ink418.xml"/><Relationship Id="rId1047" Type="http://schemas.openxmlformats.org/officeDocument/2006/relationships/customXml" Target="../ink/ink525.xml"/><Relationship Id="rId263" Type="http://schemas.openxmlformats.org/officeDocument/2006/relationships/image" Target="../media/image131.png"/><Relationship Id="rId470" Type="http://schemas.openxmlformats.org/officeDocument/2006/relationships/customXml" Target="../ink/ink236.xml"/><Relationship Id="rId929" Type="http://schemas.openxmlformats.org/officeDocument/2006/relationships/customXml" Target="../ink/ink467.xml"/><Relationship Id="rId58" Type="http://schemas.openxmlformats.org/officeDocument/2006/relationships/image" Target="../media/image29.png"/><Relationship Id="rId123" Type="http://schemas.openxmlformats.org/officeDocument/2006/relationships/image" Target="../media/image61.png"/><Relationship Id="rId330" Type="http://schemas.openxmlformats.org/officeDocument/2006/relationships/customXml" Target="../ink/ink166.xml"/><Relationship Id="rId568" Type="http://schemas.openxmlformats.org/officeDocument/2006/relationships/customXml" Target="../ink/ink285.xml"/><Relationship Id="rId775" Type="http://schemas.openxmlformats.org/officeDocument/2006/relationships/customXml" Target="../ink/ink390.xml"/><Relationship Id="rId428" Type="http://schemas.openxmlformats.org/officeDocument/2006/relationships/customXml" Target="../ink/ink215.xml"/><Relationship Id="rId635" Type="http://schemas.openxmlformats.org/officeDocument/2006/relationships/image" Target="../media/image317.png"/><Relationship Id="rId842" Type="http://schemas.openxmlformats.org/officeDocument/2006/relationships/image" Target="../media/image419.png"/><Relationship Id="rId1058" Type="http://schemas.openxmlformats.org/officeDocument/2006/relationships/image" Target="../media/image527.png"/><Relationship Id="rId274" Type="http://schemas.openxmlformats.org/officeDocument/2006/relationships/customXml" Target="../ink/ink138.xml"/><Relationship Id="rId481" Type="http://schemas.openxmlformats.org/officeDocument/2006/relationships/image" Target="../media/image240.png"/><Relationship Id="rId702" Type="http://schemas.openxmlformats.org/officeDocument/2006/relationships/image" Target="../media/image349.png"/><Relationship Id="rId69" Type="http://schemas.openxmlformats.org/officeDocument/2006/relationships/customXml" Target="../ink/ink35.xml"/><Relationship Id="rId134" Type="http://schemas.openxmlformats.org/officeDocument/2006/relationships/customXml" Target="../ink/ink68.xml"/><Relationship Id="rId579" Type="http://schemas.openxmlformats.org/officeDocument/2006/relationships/image" Target="../media/image289.png"/><Relationship Id="rId786" Type="http://schemas.openxmlformats.org/officeDocument/2006/relationships/image" Target="../media/image391.png"/><Relationship Id="rId993" Type="http://schemas.openxmlformats.org/officeDocument/2006/relationships/customXml" Target="../ink/ink498.xml"/><Relationship Id="rId341" Type="http://schemas.openxmlformats.org/officeDocument/2006/relationships/image" Target="../media/image170.png"/><Relationship Id="rId439" Type="http://schemas.openxmlformats.org/officeDocument/2006/relationships/image" Target="../media/image219.png"/><Relationship Id="rId646" Type="http://schemas.openxmlformats.org/officeDocument/2006/relationships/image" Target="../media/image321.png"/><Relationship Id="rId1069" Type="http://schemas.openxmlformats.org/officeDocument/2006/relationships/customXml" Target="../ink/ink536.xml"/><Relationship Id="rId201" Type="http://schemas.openxmlformats.org/officeDocument/2006/relationships/image" Target="../media/image100.png"/><Relationship Id="rId285" Type="http://schemas.openxmlformats.org/officeDocument/2006/relationships/image" Target="../media/image142.png"/><Relationship Id="rId506" Type="http://schemas.openxmlformats.org/officeDocument/2006/relationships/customXml" Target="../ink/ink254.xml"/><Relationship Id="rId853" Type="http://schemas.openxmlformats.org/officeDocument/2006/relationships/customXml" Target="../ink/ink429.xml"/><Relationship Id="rId492" Type="http://schemas.openxmlformats.org/officeDocument/2006/relationships/customXml" Target="../ink/ink247.xml"/><Relationship Id="rId713" Type="http://schemas.openxmlformats.org/officeDocument/2006/relationships/customXml" Target="../ink/ink359.xml"/><Relationship Id="rId797" Type="http://schemas.openxmlformats.org/officeDocument/2006/relationships/customXml" Target="../ink/ink401.xml"/><Relationship Id="rId920" Type="http://schemas.openxmlformats.org/officeDocument/2006/relationships/image" Target="../media/image458.png"/><Relationship Id="rId145" Type="http://schemas.openxmlformats.org/officeDocument/2006/relationships/image" Target="../media/image72.png"/><Relationship Id="rId352" Type="http://schemas.openxmlformats.org/officeDocument/2006/relationships/customXml" Target="../ink/ink177.xml"/><Relationship Id="rId212" Type="http://schemas.openxmlformats.org/officeDocument/2006/relationships/customXml" Target="../ink/ink107.xml"/><Relationship Id="rId657" Type="http://schemas.openxmlformats.org/officeDocument/2006/relationships/customXml" Target="../ink/ink331.xml"/><Relationship Id="rId864" Type="http://schemas.openxmlformats.org/officeDocument/2006/relationships/image" Target="../media/image430.png"/><Relationship Id="rId296" Type="http://schemas.openxmlformats.org/officeDocument/2006/relationships/customXml" Target="../ink/ink149.xml"/><Relationship Id="rId517" Type="http://schemas.openxmlformats.org/officeDocument/2006/relationships/image" Target="../media/image258.png"/><Relationship Id="rId724" Type="http://schemas.openxmlformats.org/officeDocument/2006/relationships/image" Target="../media/image360.png"/><Relationship Id="rId931" Type="http://schemas.openxmlformats.org/officeDocument/2006/relationships/customXml" Target="../ink/ink468.xml"/><Relationship Id="rId60" Type="http://schemas.openxmlformats.org/officeDocument/2006/relationships/image" Target="../media/image30.png"/><Relationship Id="rId156" Type="http://schemas.openxmlformats.org/officeDocument/2006/relationships/customXml" Target="../ink/ink79.xml"/><Relationship Id="rId363" Type="http://schemas.openxmlformats.org/officeDocument/2006/relationships/image" Target="../media/image181.png"/><Relationship Id="rId570" Type="http://schemas.openxmlformats.org/officeDocument/2006/relationships/customXml" Target="../ink/ink286.xml"/><Relationship Id="rId1007" Type="http://schemas.openxmlformats.org/officeDocument/2006/relationships/customXml" Target="../ink/ink505.xml"/><Relationship Id="rId223" Type="http://schemas.openxmlformats.org/officeDocument/2006/relationships/image" Target="../media/image111.png"/><Relationship Id="rId430" Type="http://schemas.openxmlformats.org/officeDocument/2006/relationships/customXml" Target="../ink/ink216.xml"/><Relationship Id="rId668" Type="http://schemas.openxmlformats.org/officeDocument/2006/relationships/image" Target="../media/image332.png"/><Relationship Id="rId875" Type="http://schemas.openxmlformats.org/officeDocument/2006/relationships/customXml" Target="../ink/ink440.xml"/><Relationship Id="rId1060" Type="http://schemas.openxmlformats.org/officeDocument/2006/relationships/image" Target="../media/image528.png"/><Relationship Id="rId18" Type="http://schemas.openxmlformats.org/officeDocument/2006/relationships/image" Target="../media/image9.png"/><Relationship Id="rId528" Type="http://schemas.openxmlformats.org/officeDocument/2006/relationships/customXml" Target="../ink/ink265.xml"/><Relationship Id="rId735" Type="http://schemas.openxmlformats.org/officeDocument/2006/relationships/customXml" Target="../ink/ink370.xml"/><Relationship Id="rId942" Type="http://schemas.openxmlformats.org/officeDocument/2006/relationships/image" Target="../media/image469.png"/><Relationship Id="rId167" Type="http://schemas.openxmlformats.org/officeDocument/2006/relationships/image" Target="../media/image83.png"/><Relationship Id="rId374" Type="http://schemas.openxmlformats.org/officeDocument/2006/relationships/customXml" Target="../ink/ink188.xml"/><Relationship Id="rId581" Type="http://schemas.openxmlformats.org/officeDocument/2006/relationships/image" Target="../media/image290.png"/><Relationship Id="rId1018" Type="http://schemas.openxmlformats.org/officeDocument/2006/relationships/image" Target="../media/image507.png"/><Relationship Id="rId71" Type="http://schemas.openxmlformats.org/officeDocument/2006/relationships/image" Target="../media/image35.png"/><Relationship Id="rId234" Type="http://schemas.openxmlformats.org/officeDocument/2006/relationships/customXml" Target="../ink/ink118.xml"/><Relationship Id="rId679" Type="http://schemas.openxmlformats.org/officeDocument/2006/relationships/customXml" Target="../ink/ink342.xml"/><Relationship Id="rId802" Type="http://schemas.openxmlformats.org/officeDocument/2006/relationships/image" Target="../media/image399.png"/><Relationship Id="rId886" Type="http://schemas.openxmlformats.org/officeDocument/2006/relationships/image" Target="../media/image441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441" Type="http://schemas.openxmlformats.org/officeDocument/2006/relationships/image" Target="../media/image220.png"/><Relationship Id="rId539" Type="http://schemas.openxmlformats.org/officeDocument/2006/relationships/image" Target="../media/image269.png"/><Relationship Id="rId746" Type="http://schemas.openxmlformats.org/officeDocument/2006/relationships/image" Target="../media/image371.png"/><Relationship Id="rId1071" Type="http://schemas.openxmlformats.org/officeDocument/2006/relationships/customXml" Target="../ink/ink537.xml"/><Relationship Id="rId178" Type="http://schemas.openxmlformats.org/officeDocument/2006/relationships/customXml" Target="../ink/ink90.xml"/><Relationship Id="rId301" Type="http://schemas.openxmlformats.org/officeDocument/2006/relationships/image" Target="../media/image150.png"/><Relationship Id="rId953" Type="http://schemas.openxmlformats.org/officeDocument/2006/relationships/customXml" Target="../ink/ink479.xml"/><Relationship Id="rId1029" Type="http://schemas.openxmlformats.org/officeDocument/2006/relationships/customXml" Target="../ink/ink516.xml"/><Relationship Id="rId82" Type="http://schemas.openxmlformats.org/officeDocument/2006/relationships/customXml" Target="../ink/ink42.xml"/><Relationship Id="rId385" Type="http://schemas.openxmlformats.org/officeDocument/2006/relationships/image" Target="../media/image192.png"/><Relationship Id="rId592" Type="http://schemas.openxmlformats.org/officeDocument/2006/relationships/customXml" Target="../ink/ink297.xml"/><Relationship Id="rId606" Type="http://schemas.openxmlformats.org/officeDocument/2006/relationships/customXml" Target="../ink/ink304.xml"/><Relationship Id="rId813" Type="http://schemas.openxmlformats.org/officeDocument/2006/relationships/customXml" Target="../ink/ink409.xml"/><Relationship Id="rId245" Type="http://schemas.openxmlformats.org/officeDocument/2006/relationships/image" Target="../media/image122.png"/><Relationship Id="rId452" Type="http://schemas.openxmlformats.org/officeDocument/2006/relationships/customXml" Target="../ink/ink227.xml"/><Relationship Id="rId897" Type="http://schemas.openxmlformats.org/officeDocument/2006/relationships/customXml" Target="../ink/ink451.xml"/><Relationship Id="rId1082" Type="http://schemas.openxmlformats.org/officeDocument/2006/relationships/image" Target="../media/image539.png"/><Relationship Id="rId105" Type="http://schemas.openxmlformats.org/officeDocument/2006/relationships/image" Target="../media/image52.png"/><Relationship Id="rId312" Type="http://schemas.openxmlformats.org/officeDocument/2006/relationships/customXml" Target="../ink/ink157.xml"/><Relationship Id="rId757" Type="http://schemas.openxmlformats.org/officeDocument/2006/relationships/customXml" Target="../ink/ink381.xml"/><Relationship Id="rId964" Type="http://schemas.openxmlformats.org/officeDocument/2006/relationships/image" Target="../media/image480.png"/><Relationship Id="rId93" Type="http://schemas.openxmlformats.org/officeDocument/2006/relationships/image" Target="../media/image46.png"/><Relationship Id="rId189" Type="http://schemas.openxmlformats.org/officeDocument/2006/relationships/image" Target="../media/image94.png"/><Relationship Id="rId396" Type="http://schemas.openxmlformats.org/officeDocument/2006/relationships/customXml" Target="../ink/ink199.xml"/><Relationship Id="rId617" Type="http://schemas.openxmlformats.org/officeDocument/2006/relationships/image" Target="../media/image308.png"/><Relationship Id="rId824" Type="http://schemas.openxmlformats.org/officeDocument/2006/relationships/image" Target="../media/image410.png"/><Relationship Id="rId256" Type="http://schemas.openxmlformats.org/officeDocument/2006/relationships/customXml" Target="../ink/ink129.xml"/><Relationship Id="rId463" Type="http://schemas.openxmlformats.org/officeDocument/2006/relationships/image" Target="../media/image231.png"/><Relationship Id="rId670" Type="http://schemas.openxmlformats.org/officeDocument/2006/relationships/image" Target="../media/image333.png"/><Relationship Id="rId1093" Type="http://schemas.openxmlformats.org/officeDocument/2006/relationships/customXml" Target="../ink/ink548.xml"/><Relationship Id="rId1107" Type="http://schemas.openxmlformats.org/officeDocument/2006/relationships/customXml" Target="../ink/ink555.xml"/><Relationship Id="rId116" Type="http://schemas.openxmlformats.org/officeDocument/2006/relationships/customXml" Target="../ink/ink59.xml"/><Relationship Id="rId323" Type="http://schemas.openxmlformats.org/officeDocument/2006/relationships/image" Target="../media/image161.png"/><Relationship Id="rId530" Type="http://schemas.openxmlformats.org/officeDocument/2006/relationships/customXml" Target="../ink/ink266.xml"/><Relationship Id="rId768" Type="http://schemas.openxmlformats.org/officeDocument/2006/relationships/image" Target="../media/image382.png"/><Relationship Id="rId975" Type="http://schemas.openxmlformats.org/officeDocument/2006/relationships/customXml" Target="../ink/ink490.xml"/><Relationship Id="rId20" Type="http://schemas.openxmlformats.org/officeDocument/2006/relationships/image" Target="../media/image10.png"/><Relationship Id="rId628" Type="http://schemas.openxmlformats.org/officeDocument/2006/relationships/customXml" Target="../ink/ink315.xml"/><Relationship Id="rId835" Type="http://schemas.openxmlformats.org/officeDocument/2006/relationships/customXml" Target="../ink/ink420.xml"/><Relationship Id="rId267" Type="http://schemas.openxmlformats.org/officeDocument/2006/relationships/image" Target="../media/image133.png"/><Relationship Id="rId474" Type="http://schemas.openxmlformats.org/officeDocument/2006/relationships/customXml" Target="../ink/ink238.xml"/><Relationship Id="rId1020" Type="http://schemas.openxmlformats.org/officeDocument/2006/relationships/image" Target="../media/image508.png"/><Relationship Id="rId127" Type="http://schemas.openxmlformats.org/officeDocument/2006/relationships/image" Target="../media/image63.png"/><Relationship Id="rId681" Type="http://schemas.openxmlformats.org/officeDocument/2006/relationships/customXml" Target="../ink/ink343.xml"/><Relationship Id="rId779" Type="http://schemas.openxmlformats.org/officeDocument/2006/relationships/customXml" Target="../ink/ink392.xml"/><Relationship Id="rId902" Type="http://schemas.openxmlformats.org/officeDocument/2006/relationships/image" Target="../media/image449.png"/><Relationship Id="rId986" Type="http://schemas.openxmlformats.org/officeDocument/2006/relationships/image" Target="../media/image491.png"/><Relationship Id="rId31" Type="http://schemas.openxmlformats.org/officeDocument/2006/relationships/customXml" Target="../ink/ink16.xml"/><Relationship Id="rId334" Type="http://schemas.openxmlformats.org/officeDocument/2006/relationships/customXml" Target="../ink/ink168.xml"/><Relationship Id="rId541" Type="http://schemas.openxmlformats.org/officeDocument/2006/relationships/image" Target="../media/image270.png"/><Relationship Id="rId639" Type="http://schemas.openxmlformats.org/officeDocument/2006/relationships/customXml" Target="../ink/ink322.xml"/><Relationship Id="rId180" Type="http://schemas.openxmlformats.org/officeDocument/2006/relationships/customXml" Target="../ink/ink91.xml"/><Relationship Id="rId278" Type="http://schemas.openxmlformats.org/officeDocument/2006/relationships/customXml" Target="../ink/ink140.xml"/><Relationship Id="rId401" Type="http://schemas.openxmlformats.org/officeDocument/2006/relationships/image" Target="../media/image200.png"/><Relationship Id="rId846" Type="http://schemas.openxmlformats.org/officeDocument/2006/relationships/image" Target="../media/image421.png"/><Relationship Id="rId1031" Type="http://schemas.openxmlformats.org/officeDocument/2006/relationships/customXml" Target="../ink/ink517.xml"/><Relationship Id="rId485" Type="http://schemas.openxmlformats.org/officeDocument/2006/relationships/image" Target="../media/image242.png"/><Relationship Id="rId692" Type="http://schemas.openxmlformats.org/officeDocument/2006/relationships/image" Target="../media/image344.png"/><Relationship Id="rId706" Type="http://schemas.openxmlformats.org/officeDocument/2006/relationships/image" Target="../media/image351.png"/><Relationship Id="rId913" Type="http://schemas.openxmlformats.org/officeDocument/2006/relationships/customXml" Target="../ink/ink459.xml"/><Relationship Id="rId42" Type="http://schemas.openxmlformats.org/officeDocument/2006/relationships/image" Target="../media/image21.png"/><Relationship Id="rId138" Type="http://schemas.openxmlformats.org/officeDocument/2006/relationships/customXml" Target="../ink/ink70.xml"/><Relationship Id="rId345" Type="http://schemas.openxmlformats.org/officeDocument/2006/relationships/image" Target="../media/image172.png"/><Relationship Id="rId552" Type="http://schemas.openxmlformats.org/officeDocument/2006/relationships/customXml" Target="../ink/ink277.xml"/><Relationship Id="rId997" Type="http://schemas.openxmlformats.org/officeDocument/2006/relationships/customXml" Target="../ink/ink500.xml"/><Relationship Id="rId191" Type="http://schemas.openxmlformats.org/officeDocument/2006/relationships/image" Target="../media/image95.png"/><Relationship Id="rId205" Type="http://schemas.openxmlformats.org/officeDocument/2006/relationships/image" Target="../media/image102.png"/><Relationship Id="rId412" Type="http://schemas.openxmlformats.org/officeDocument/2006/relationships/customXml" Target="../ink/ink207.xml"/><Relationship Id="rId857" Type="http://schemas.openxmlformats.org/officeDocument/2006/relationships/customXml" Target="../ink/ink431.xml"/><Relationship Id="rId1042" Type="http://schemas.openxmlformats.org/officeDocument/2006/relationships/image" Target="../media/image519.png"/><Relationship Id="rId289" Type="http://schemas.openxmlformats.org/officeDocument/2006/relationships/image" Target="../media/image144.png"/><Relationship Id="rId496" Type="http://schemas.openxmlformats.org/officeDocument/2006/relationships/customXml" Target="../ink/ink249.xml"/><Relationship Id="rId717" Type="http://schemas.openxmlformats.org/officeDocument/2006/relationships/customXml" Target="../ink/ink361.xml"/><Relationship Id="rId924" Type="http://schemas.openxmlformats.org/officeDocument/2006/relationships/image" Target="../media/image460.png"/><Relationship Id="rId53" Type="http://schemas.openxmlformats.org/officeDocument/2006/relationships/customXml" Target="../ink/ink27.xml"/><Relationship Id="rId149" Type="http://schemas.openxmlformats.org/officeDocument/2006/relationships/image" Target="../media/image74.png"/><Relationship Id="rId356" Type="http://schemas.openxmlformats.org/officeDocument/2006/relationships/customXml" Target="../ink/ink179.xml"/><Relationship Id="rId563" Type="http://schemas.openxmlformats.org/officeDocument/2006/relationships/image" Target="../media/image281.png"/><Relationship Id="rId770" Type="http://schemas.openxmlformats.org/officeDocument/2006/relationships/image" Target="../media/image383.png"/><Relationship Id="rId216" Type="http://schemas.openxmlformats.org/officeDocument/2006/relationships/customXml" Target="../ink/ink109.xml"/><Relationship Id="rId423" Type="http://schemas.openxmlformats.org/officeDocument/2006/relationships/image" Target="../media/image211.png"/><Relationship Id="rId868" Type="http://schemas.openxmlformats.org/officeDocument/2006/relationships/image" Target="../media/image432.png"/><Relationship Id="rId1053" Type="http://schemas.openxmlformats.org/officeDocument/2006/relationships/customXml" Target="../ink/ink528.xml"/><Relationship Id="rId630" Type="http://schemas.openxmlformats.org/officeDocument/2006/relationships/customXml" Target="../ink/ink316.xml"/><Relationship Id="rId728" Type="http://schemas.openxmlformats.org/officeDocument/2006/relationships/image" Target="../media/image362.png"/><Relationship Id="rId935" Type="http://schemas.openxmlformats.org/officeDocument/2006/relationships/customXml" Target="../ink/ink470.xml"/><Relationship Id="rId64" Type="http://schemas.openxmlformats.org/officeDocument/2006/relationships/image" Target="../media/image32.png"/><Relationship Id="rId367" Type="http://schemas.openxmlformats.org/officeDocument/2006/relationships/image" Target="../media/image183.png"/><Relationship Id="rId574" Type="http://schemas.openxmlformats.org/officeDocument/2006/relationships/customXml" Target="../ink/ink288.xml"/><Relationship Id="rId227" Type="http://schemas.openxmlformats.org/officeDocument/2006/relationships/image" Target="../media/image113.png"/><Relationship Id="rId781" Type="http://schemas.openxmlformats.org/officeDocument/2006/relationships/customXml" Target="../ink/ink393.xml"/><Relationship Id="rId879" Type="http://schemas.openxmlformats.org/officeDocument/2006/relationships/customXml" Target="../ink/ink442.xml"/><Relationship Id="rId434" Type="http://schemas.openxmlformats.org/officeDocument/2006/relationships/customXml" Target="../ink/ink218.xml"/><Relationship Id="rId641" Type="http://schemas.openxmlformats.org/officeDocument/2006/relationships/customXml" Target="../ink/ink323.xml"/><Relationship Id="rId739" Type="http://schemas.openxmlformats.org/officeDocument/2006/relationships/customXml" Target="../ink/ink372.xml"/><Relationship Id="rId1064" Type="http://schemas.openxmlformats.org/officeDocument/2006/relationships/image" Target="../media/image530.png"/><Relationship Id="rId280" Type="http://schemas.openxmlformats.org/officeDocument/2006/relationships/customXml" Target="../ink/ink141.xml"/><Relationship Id="rId501" Type="http://schemas.openxmlformats.org/officeDocument/2006/relationships/image" Target="../media/image250.png"/><Relationship Id="rId946" Type="http://schemas.openxmlformats.org/officeDocument/2006/relationships/image" Target="../media/image471.png"/><Relationship Id="rId75" Type="http://schemas.openxmlformats.org/officeDocument/2006/relationships/image" Target="../media/image37.png"/><Relationship Id="rId140" Type="http://schemas.openxmlformats.org/officeDocument/2006/relationships/customXml" Target="../ink/ink71.xml"/><Relationship Id="rId378" Type="http://schemas.openxmlformats.org/officeDocument/2006/relationships/customXml" Target="../ink/ink190.xml"/><Relationship Id="rId585" Type="http://schemas.openxmlformats.org/officeDocument/2006/relationships/image" Target="../media/image292.png"/><Relationship Id="rId792" Type="http://schemas.openxmlformats.org/officeDocument/2006/relationships/image" Target="../media/image394.png"/><Relationship Id="rId806" Type="http://schemas.openxmlformats.org/officeDocument/2006/relationships/image" Target="../media/image401.png"/><Relationship Id="rId6" Type="http://schemas.openxmlformats.org/officeDocument/2006/relationships/image" Target="../media/image3.png"/><Relationship Id="rId238" Type="http://schemas.openxmlformats.org/officeDocument/2006/relationships/customXml" Target="../ink/ink120.xml"/><Relationship Id="rId445" Type="http://schemas.openxmlformats.org/officeDocument/2006/relationships/image" Target="../media/image222.png"/><Relationship Id="rId652" Type="http://schemas.openxmlformats.org/officeDocument/2006/relationships/image" Target="../media/image324.png"/><Relationship Id="rId1075" Type="http://schemas.openxmlformats.org/officeDocument/2006/relationships/customXml" Target="../ink/ink539.xml"/><Relationship Id="rId291" Type="http://schemas.openxmlformats.org/officeDocument/2006/relationships/image" Target="../media/image145.png"/><Relationship Id="rId305" Type="http://schemas.openxmlformats.org/officeDocument/2006/relationships/image" Target="../media/image152.png"/><Relationship Id="rId512" Type="http://schemas.openxmlformats.org/officeDocument/2006/relationships/customXml" Target="../ink/ink257.xml"/><Relationship Id="rId957" Type="http://schemas.openxmlformats.org/officeDocument/2006/relationships/customXml" Target="../ink/ink481.xml"/><Relationship Id="rId86" Type="http://schemas.openxmlformats.org/officeDocument/2006/relationships/customXml" Target="../ink/ink44.xml"/><Relationship Id="rId151" Type="http://schemas.openxmlformats.org/officeDocument/2006/relationships/image" Target="../media/image75.png"/><Relationship Id="rId389" Type="http://schemas.openxmlformats.org/officeDocument/2006/relationships/image" Target="../media/image194.png"/><Relationship Id="rId596" Type="http://schemas.openxmlformats.org/officeDocument/2006/relationships/customXml" Target="../ink/ink299.xml"/><Relationship Id="rId817" Type="http://schemas.openxmlformats.org/officeDocument/2006/relationships/customXml" Target="../ink/ink411.xml"/><Relationship Id="rId1002" Type="http://schemas.openxmlformats.org/officeDocument/2006/relationships/image" Target="../media/image499.png"/><Relationship Id="rId249" Type="http://schemas.openxmlformats.org/officeDocument/2006/relationships/image" Target="../media/image124.png"/><Relationship Id="rId456" Type="http://schemas.openxmlformats.org/officeDocument/2006/relationships/customXml" Target="../ink/ink229.xml"/><Relationship Id="rId663" Type="http://schemas.openxmlformats.org/officeDocument/2006/relationships/customXml" Target="../ink/ink334.xml"/><Relationship Id="rId870" Type="http://schemas.openxmlformats.org/officeDocument/2006/relationships/image" Target="../media/image433.png"/><Relationship Id="rId1086" Type="http://schemas.openxmlformats.org/officeDocument/2006/relationships/image" Target="../media/image541.png"/><Relationship Id="rId13" Type="http://schemas.openxmlformats.org/officeDocument/2006/relationships/customXml" Target="../ink/ink7.xml"/><Relationship Id="rId109" Type="http://schemas.openxmlformats.org/officeDocument/2006/relationships/image" Target="../media/image54.png"/><Relationship Id="rId316" Type="http://schemas.openxmlformats.org/officeDocument/2006/relationships/customXml" Target="../ink/ink159.xml"/><Relationship Id="rId523" Type="http://schemas.openxmlformats.org/officeDocument/2006/relationships/image" Target="../media/image261.png"/><Relationship Id="rId968" Type="http://schemas.openxmlformats.org/officeDocument/2006/relationships/image" Target="../media/image482.png"/><Relationship Id="rId97" Type="http://schemas.openxmlformats.org/officeDocument/2006/relationships/image" Target="../media/image48.png"/><Relationship Id="rId730" Type="http://schemas.openxmlformats.org/officeDocument/2006/relationships/image" Target="../media/image363.png"/><Relationship Id="rId828" Type="http://schemas.openxmlformats.org/officeDocument/2006/relationships/image" Target="../media/image412.png"/><Relationship Id="rId1013" Type="http://schemas.openxmlformats.org/officeDocument/2006/relationships/customXml" Target="../ink/ink508.xml"/><Relationship Id="rId162" Type="http://schemas.openxmlformats.org/officeDocument/2006/relationships/customXml" Target="../ink/ink82.xml"/><Relationship Id="rId467" Type="http://schemas.openxmlformats.org/officeDocument/2006/relationships/image" Target="../media/image233.png"/><Relationship Id="rId1097" Type="http://schemas.openxmlformats.org/officeDocument/2006/relationships/customXml" Target="../ink/ink550.xml"/><Relationship Id="rId674" Type="http://schemas.openxmlformats.org/officeDocument/2006/relationships/image" Target="../media/image335.png"/><Relationship Id="rId881" Type="http://schemas.openxmlformats.org/officeDocument/2006/relationships/customXml" Target="../ink/ink443.xml"/><Relationship Id="rId979" Type="http://schemas.openxmlformats.org/officeDocument/2006/relationships/customXml" Target="../ink/ink492.xml"/><Relationship Id="rId24" Type="http://schemas.openxmlformats.org/officeDocument/2006/relationships/image" Target="../media/image12.png"/><Relationship Id="rId327" Type="http://schemas.openxmlformats.org/officeDocument/2006/relationships/image" Target="../media/image163.png"/><Relationship Id="rId534" Type="http://schemas.openxmlformats.org/officeDocument/2006/relationships/customXml" Target="../ink/ink268.xml"/><Relationship Id="rId741" Type="http://schemas.openxmlformats.org/officeDocument/2006/relationships/customXml" Target="../ink/ink373.xml"/><Relationship Id="rId839" Type="http://schemas.openxmlformats.org/officeDocument/2006/relationships/customXml" Target="../ink/ink422.xml"/><Relationship Id="rId173" Type="http://schemas.openxmlformats.org/officeDocument/2006/relationships/image" Target="../media/image86.png"/><Relationship Id="rId380" Type="http://schemas.openxmlformats.org/officeDocument/2006/relationships/customXml" Target="../ink/ink191.xml"/><Relationship Id="rId601" Type="http://schemas.openxmlformats.org/officeDocument/2006/relationships/image" Target="../media/image300.png"/><Relationship Id="rId1024" Type="http://schemas.openxmlformats.org/officeDocument/2006/relationships/image" Target="../media/image510.png"/><Relationship Id="rId240" Type="http://schemas.openxmlformats.org/officeDocument/2006/relationships/customXml" Target="../ink/ink121.xml"/><Relationship Id="rId478" Type="http://schemas.openxmlformats.org/officeDocument/2006/relationships/customXml" Target="../ink/ink240.xml"/><Relationship Id="rId685" Type="http://schemas.openxmlformats.org/officeDocument/2006/relationships/customXml" Target="../ink/ink345.xml"/><Relationship Id="rId892" Type="http://schemas.openxmlformats.org/officeDocument/2006/relationships/image" Target="../media/image444.png"/><Relationship Id="rId906" Type="http://schemas.openxmlformats.org/officeDocument/2006/relationships/image" Target="../media/image451.png"/><Relationship Id="rId35" Type="http://schemas.openxmlformats.org/officeDocument/2006/relationships/customXml" Target="../ink/ink18.xml"/><Relationship Id="rId100" Type="http://schemas.openxmlformats.org/officeDocument/2006/relationships/customXml" Target="../ink/ink51.xml"/><Relationship Id="rId338" Type="http://schemas.openxmlformats.org/officeDocument/2006/relationships/customXml" Target="../ink/ink170.xml"/><Relationship Id="rId545" Type="http://schemas.openxmlformats.org/officeDocument/2006/relationships/image" Target="../media/image272.png"/><Relationship Id="rId752" Type="http://schemas.openxmlformats.org/officeDocument/2006/relationships/image" Target="../media/image374.png"/><Relationship Id="rId184" Type="http://schemas.openxmlformats.org/officeDocument/2006/relationships/customXml" Target="../ink/ink93.xml"/><Relationship Id="rId391" Type="http://schemas.openxmlformats.org/officeDocument/2006/relationships/image" Target="../media/image195.png"/><Relationship Id="rId405" Type="http://schemas.openxmlformats.org/officeDocument/2006/relationships/image" Target="../media/image202.png"/><Relationship Id="rId612" Type="http://schemas.openxmlformats.org/officeDocument/2006/relationships/customXml" Target="../ink/ink307.xml"/><Relationship Id="rId1035" Type="http://schemas.openxmlformats.org/officeDocument/2006/relationships/customXml" Target="../ink/ink519.xml"/><Relationship Id="rId251" Type="http://schemas.openxmlformats.org/officeDocument/2006/relationships/image" Target="../media/image125.png"/><Relationship Id="rId489" Type="http://schemas.openxmlformats.org/officeDocument/2006/relationships/image" Target="../media/image244.png"/><Relationship Id="rId696" Type="http://schemas.openxmlformats.org/officeDocument/2006/relationships/image" Target="../media/image346.png"/><Relationship Id="rId917" Type="http://schemas.openxmlformats.org/officeDocument/2006/relationships/customXml" Target="../ink/ink461.xml"/><Relationship Id="rId1102" Type="http://schemas.openxmlformats.org/officeDocument/2006/relationships/image" Target="../media/image1510.png"/><Relationship Id="rId46" Type="http://schemas.openxmlformats.org/officeDocument/2006/relationships/image" Target="../media/image23.png"/><Relationship Id="rId349" Type="http://schemas.openxmlformats.org/officeDocument/2006/relationships/image" Target="../media/image174.png"/><Relationship Id="rId556" Type="http://schemas.openxmlformats.org/officeDocument/2006/relationships/customXml" Target="../ink/ink279.xml"/><Relationship Id="rId763" Type="http://schemas.openxmlformats.org/officeDocument/2006/relationships/customXml" Target="../ink/ink384.xml"/><Relationship Id="rId111" Type="http://schemas.openxmlformats.org/officeDocument/2006/relationships/image" Target="../media/image55.png"/><Relationship Id="rId195" Type="http://schemas.openxmlformats.org/officeDocument/2006/relationships/image" Target="../media/image97.png"/><Relationship Id="rId209" Type="http://schemas.openxmlformats.org/officeDocument/2006/relationships/image" Target="../media/image104.png"/><Relationship Id="rId416" Type="http://schemas.openxmlformats.org/officeDocument/2006/relationships/customXml" Target="../ink/ink209.xml"/><Relationship Id="rId970" Type="http://schemas.openxmlformats.org/officeDocument/2006/relationships/image" Target="../media/image483.png"/><Relationship Id="rId1046" Type="http://schemas.openxmlformats.org/officeDocument/2006/relationships/image" Target="../media/image521.png"/><Relationship Id="rId623" Type="http://schemas.openxmlformats.org/officeDocument/2006/relationships/image" Target="../media/image311.png"/><Relationship Id="rId830" Type="http://schemas.openxmlformats.org/officeDocument/2006/relationships/image" Target="../media/image413.png"/><Relationship Id="rId928" Type="http://schemas.openxmlformats.org/officeDocument/2006/relationships/image" Target="../media/image462.png"/><Relationship Id="rId57" Type="http://schemas.openxmlformats.org/officeDocument/2006/relationships/customXml" Target="../ink/ink29.xml"/><Relationship Id="rId262" Type="http://schemas.openxmlformats.org/officeDocument/2006/relationships/customXml" Target="../ink/ink132.xml"/><Relationship Id="rId567" Type="http://schemas.openxmlformats.org/officeDocument/2006/relationships/image" Target="../media/image283.png"/><Relationship Id="rId122" Type="http://schemas.openxmlformats.org/officeDocument/2006/relationships/customXml" Target="../ink/ink62.xml"/><Relationship Id="rId774" Type="http://schemas.openxmlformats.org/officeDocument/2006/relationships/image" Target="../media/image385.png"/><Relationship Id="rId981" Type="http://schemas.openxmlformats.org/officeDocument/2006/relationships/customXml" Target="../ink/ink493.xml"/><Relationship Id="rId1057" Type="http://schemas.openxmlformats.org/officeDocument/2006/relationships/customXml" Target="../ink/ink530.xml"/><Relationship Id="rId427" Type="http://schemas.openxmlformats.org/officeDocument/2006/relationships/image" Target="../media/image213.png"/><Relationship Id="rId634" Type="http://schemas.openxmlformats.org/officeDocument/2006/relationships/customXml" Target="../ink/ink318.xml"/><Relationship Id="rId841" Type="http://schemas.openxmlformats.org/officeDocument/2006/relationships/customXml" Target="../ink/ink423.xml"/><Relationship Id="rId273" Type="http://schemas.openxmlformats.org/officeDocument/2006/relationships/image" Target="../media/image136.png"/><Relationship Id="rId480" Type="http://schemas.openxmlformats.org/officeDocument/2006/relationships/customXml" Target="../ink/ink241.xml"/><Relationship Id="rId701" Type="http://schemas.openxmlformats.org/officeDocument/2006/relationships/customXml" Target="../ink/ink353.xml"/><Relationship Id="rId939" Type="http://schemas.openxmlformats.org/officeDocument/2006/relationships/customXml" Target="../ink/ink472.xml"/><Relationship Id="rId68" Type="http://schemas.openxmlformats.org/officeDocument/2006/relationships/image" Target="../media/image34.png"/><Relationship Id="rId133" Type="http://schemas.openxmlformats.org/officeDocument/2006/relationships/image" Target="../media/image66.png"/><Relationship Id="rId340" Type="http://schemas.openxmlformats.org/officeDocument/2006/relationships/customXml" Target="../ink/ink171.xml"/><Relationship Id="rId578" Type="http://schemas.openxmlformats.org/officeDocument/2006/relationships/customXml" Target="../ink/ink290.xml"/><Relationship Id="rId785" Type="http://schemas.openxmlformats.org/officeDocument/2006/relationships/customXml" Target="../ink/ink395.xml"/><Relationship Id="rId992" Type="http://schemas.openxmlformats.org/officeDocument/2006/relationships/image" Target="../media/image494.png"/><Relationship Id="rId200" Type="http://schemas.openxmlformats.org/officeDocument/2006/relationships/customXml" Target="../ink/ink101.xml"/><Relationship Id="rId438" Type="http://schemas.openxmlformats.org/officeDocument/2006/relationships/customXml" Target="../ink/ink220.xml"/><Relationship Id="rId645" Type="http://schemas.openxmlformats.org/officeDocument/2006/relationships/customXml" Target="../ink/ink325.xml"/><Relationship Id="rId852" Type="http://schemas.openxmlformats.org/officeDocument/2006/relationships/image" Target="../media/image424.png"/><Relationship Id="rId1068" Type="http://schemas.openxmlformats.org/officeDocument/2006/relationships/image" Target="../media/image532.png"/><Relationship Id="rId284" Type="http://schemas.openxmlformats.org/officeDocument/2006/relationships/customXml" Target="../ink/ink143.xml"/><Relationship Id="rId491" Type="http://schemas.openxmlformats.org/officeDocument/2006/relationships/image" Target="../media/image245.png"/><Relationship Id="rId505" Type="http://schemas.openxmlformats.org/officeDocument/2006/relationships/image" Target="../media/image252.png"/><Relationship Id="rId712" Type="http://schemas.openxmlformats.org/officeDocument/2006/relationships/image" Target="../media/image354.png"/><Relationship Id="rId79" Type="http://schemas.openxmlformats.org/officeDocument/2006/relationships/image" Target="../media/image39.png"/><Relationship Id="rId144" Type="http://schemas.openxmlformats.org/officeDocument/2006/relationships/customXml" Target="../ink/ink73.xml"/><Relationship Id="rId589" Type="http://schemas.openxmlformats.org/officeDocument/2006/relationships/image" Target="../media/image294.png"/><Relationship Id="rId796" Type="http://schemas.openxmlformats.org/officeDocument/2006/relationships/image" Target="../media/image396.png"/><Relationship Id="rId351" Type="http://schemas.openxmlformats.org/officeDocument/2006/relationships/image" Target="../media/image175.png"/><Relationship Id="rId449" Type="http://schemas.openxmlformats.org/officeDocument/2006/relationships/image" Target="../media/image224.png"/><Relationship Id="rId656" Type="http://schemas.openxmlformats.org/officeDocument/2006/relationships/image" Target="../media/image326.png"/><Relationship Id="rId863" Type="http://schemas.openxmlformats.org/officeDocument/2006/relationships/customXml" Target="../ink/ink434.xml"/><Relationship Id="rId1079" Type="http://schemas.openxmlformats.org/officeDocument/2006/relationships/customXml" Target="../ink/ink541.xml"/><Relationship Id="rId211" Type="http://schemas.openxmlformats.org/officeDocument/2006/relationships/image" Target="../media/image105.png"/><Relationship Id="rId295" Type="http://schemas.openxmlformats.org/officeDocument/2006/relationships/image" Target="../media/image147.png"/><Relationship Id="rId309" Type="http://schemas.openxmlformats.org/officeDocument/2006/relationships/image" Target="../media/image154.png"/><Relationship Id="rId516" Type="http://schemas.openxmlformats.org/officeDocument/2006/relationships/customXml" Target="../ink/ink259.xml"/><Relationship Id="rId723" Type="http://schemas.openxmlformats.org/officeDocument/2006/relationships/customXml" Target="../ink/ink364.xml"/><Relationship Id="rId930" Type="http://schemas.openxmlformats.org/officeDocument/2006/relationships/image" Target="../media/image463.png"/><Relationship Id="rId1006" Type="http://schemas.openxmlformats.org/officeDocument/2006/relationships/image" Target="../media/image501.png"/><Relationship Id="rId155" Type="http://schemas.openxmlformats.org/officeDocument/2006/relationships/image" Target="../media/image77.png"/><Relationship Id="rId362" Type="http://schemas.openxmlformats.org/officeDocument/2006/relationships/customXml" Target="../ink/ink182.xml"/><Relationship Id="rId222" Type="http://schemas.openxmlformats.org/officeDocument/2006/relationships/customXml" Target="../ink/ink112.xml"/><Relationship Id="rId667" Type="http://schemas.openxmlformats.org/officeDocument/2006/relationships/customXml" Target="../ink/ink336.xml"/><Relationship Id="rId874" Type="http://schemas.openxmlformats.org/officeDocument/2006/relationships/image" Target="../media/image435.png"/><Relationship Id="rId17" Type="http://schemas.openxmlformats.org/officeDocument/2006/relationships/customXml" Target="../ink/ink9.xml"/><Relationship Id="rId527" Type="http://schemas.openxmlformats.org/officeDocument/2006/relationships/image" Target="../media/image263.png"/><Relationship Id="rId734" Type="http://schemas.openxmlformats.org/officeDocument/2006/relationships/image" Target="../media/image365.png"/><Relationship Id="rId941" Type="http://schemas.openxmlformats.org/officeDocument/2006/relationships/customXml" Target="../ink/ink473.xml"/><Relationship Id="rId70" Type="http://schemas.openxmlformats.org/officeDocument/2006/relationships/customXml" Target="../ink/ink36.xml"/><Relationship Id="rId166" Type="http://schemas.openxmlformats.org/officeDocument/2006/relationships/customXml" Target="../ink/ink84.xml"/><Relationship Id="rId373" Type="http://schemas.openxmlformats.org/officeDocument/2006/relationships/image" Target="../media/image186.png"/><Relationship Id="rId580" Type="http://schemas.openxmlformats.org/officeDocument/2006/relationships/customXml" Target="../ink/ink291.xml"/><Relationship Id="rId801" Type="http://schemas.openxmlformats.org/officeDocument/2006/relationships/customXml" Target="../ink/ink403.xml"/><Relationship Id="rId1017" Type="http://schemas.openxmlformats.org/officeDocument/2006/relationships/customXml" Target="../ink/ink510.xml"/><Relationship Id="rId1" Type="http://schemas.openxmlformats.org/officeDocument/2006/relationships/customXml" Target="../ink/ink1.xml"/><Relationship Id="rId233" Type="http://schemas.openxmlformats.org/officeDocument/2006/relationships/image" Target="../media/image116.png"/><Relationship Id="rId440" Type="http://schemas.openxmlformats.org/officeDocument/2006/relationships/customXml" Target="../ink/ink221.xml"/><Relationship Id="rId678" Type="http://schemas.openxmlformats.org/officeDocument/2006/relationships/image" Target="../media/image337.png"/><Relationship Id="rId885" Type="http://schemas.openxmlformats.org/officeDocument/2006/relationships/customXml" Target="../ink/ink445.xml"/><Relationship Id="rId1070" Type="http://schemas.openxmlformats.org/officeDocument/2006/relationships/image" Target="../media/image533.png"/><Relationship Id="rId28" Type="http://schemas.openxmlformats.org/officeDocument/2006/relationships/image" Target="../media/image14.png"/><Relationship Id="rId300" Type="http://schemas.openxmlformats.org/officeDocument/2006/relationships/customXml" Target="../ink/ink151.xml"/><Relationship Id="rId538" Type="http://schemas.openxmlformats.org/officeDocument/2006/relationships/customXml" Target="../ink/ink270.xml"/><Relationship Id="rId745" Type="http://schemas.openxmlformats.org/officeDocument/2006/relationships/customXml" Target="../ink/ink375.xml"/><Relationship Id="rId952" Type="http://schemas.openxmlformats.org/officeDocument/2006/relationships/image" Target="../media/image474.png"/><Relationship Id="rId81" Type="http://schemas.openxmlformats.org/officeDocument/2006/relationships/image" Target="../media/image40.png"/><Relationship Id="rId177" Type="http://schemas.openxmlformats.org/officeDocument/2006/relationships/image" Target="../media/image88.png"/><Relationship Id="rId384" Type="http://schemas.openxmlformats.org/officeDocument/2006/relationships/customXml" Target="../ink/ink193.xml"/><Relationship Id="rId591" Type="http://schemas.openxmlformats.org/officeDocument/2006/relationships/image" Target="../media/image295.png"/><Relationship Id="rId605" Type="http://schemas.openxmlformats.org/officeDocument/2006/relationships/image" Target="../media/image302.png"/><Relationship Id="rId812" Type="http://schemas.openxmlformats.org/officeDocument/2006/relationships/image" Target="../media/image404.png"/><Relationship Id="rId1028" Type="http://schemas.openxmlformats.org/officeDocument/2006/relationships/image" Target="../media/image512.png"/><Relationship Id="rId244" Type="http://schemas.openxmlformats.org/officeDocument/2006/relationships/customXml" Target="../ink/ink123.xml"/><Relationship Id="rId689" Type="http://schemas.openxmlformats.org/officeDocument/2006/relationships/customXml" Target="../ink/ink347.xml"/><Relationship Id="rId896" Type="http://schemas.openxmlformats.org/officeDocument/2006/relationships/image" Target="../media/image446.png"/><Relationship Id="rId1081" Type="http://schemas.openxmlformats.org/officeDocument/2006/relationships/customXml" Target="../ink/ink542.xml"/><Relationship Id="rId39" Type="http://schemas.openxmlformats.org/officeDocument/2006/relationships/customXml" Target="../ink/ink20.xml"/><Relationship Id="rId451" Type="http://schemas.openxmlformats.org/officeDocument/2006/relationships/image" Target="../media/image225.png"/><Relationship Id="rId549" Type="http://schemas.openxmlformats.org/officeDocument/2006/relationships/image" Target="../media/image274.png"/><Relationship Id="rId756" Type="http://schemas.openxmlformats.org/officeDocument/2006/relationships/image" Target="../media/image376.png"/><Relationship Id="rId104" Type="http://schemas.openxmlformats.org/officeDocument/2006/relationships/customXml" Target="../ink/ink53.xml"/><Relationship Id="rId188" Type="http://schemas.openxmlformats.org/officeDocument/2006/relationships/customXml" Target="../ink/ink95.xml"/><Relationship Id="rId311" Type="http://schemas.openxmlformats.org/officeDocument/2006/relationships/image" Target="../media/image155.png"/><Relationship Id="rId395" Type="http://schemas.openxmlformats.org/officeDocument/2006/relationships/image" Target="../media/image197.png"/><Relationship Id="rId409" Type="http://schemas.openxmlformats.org/officeDocument/2006/relationships/image" Target="../media/image204.png"/><Relationship Id="rId963" Type="http://schemas.openxmlformats.org/officeDocument/2006/relationships/customXml" Target="../ink/ink484.xml"/><Relationship Id="rId1039" Type="http://schemas.openxmlformats.org/officeDocument/2006/relationships/customXml" Target="../ink/ink521.xml"/><Relationship Id="rId92" Type="http://schemas.openxmlformats.org/officeDocument/2006/relationships/customXml" Target="../ink/ink47.xml"/><Relationship Id="rId616" Type="http://schemas.openxmlformats.org/officeDocument/2006/relationships/customXml" Target="../ink/ink309.xml"/><Relationship Id="rId823" Type="http://schemas.openxmlformats.org/officeDocument/2006/relationships/customXml" Target="../ink/ink414.xml"/><Relationship Id="rId255" Type="http://schemas.openxmlformats.org/officeDocument/2006/relationships/image" Target="../media/image127.png"/><Relationship Id="rId462" Type="http://schemas.openxmlformats.org/officeDocument/2006/relationships/customXml" Target="../ink/ink232.xml"/><Relationship Id="rId1092" Type="http://schemas.openxmlformats.org/officeDocument/2006/relationships/image" Target="../media/image1460.png"/><Relationship Id="rId1106" Type="http://schemas.openxmlformats.org/officeDocument/2006/relationships/image" Target="../media/image1530.png"/><Relationship Id="rId115" Type="http://schemas.openxmlformats.org/officeDocument/2006/relationships/image" Target="../media/image57.png"/><Relationship Id="rId322" Type="http://schemas.openxmlformats.org/officeDocument/2006/relationships/customXml" Target="../ink/ink162.xml"/><Relationship Id="rId767" Type="http://schemas.openxmlformats.org/officeDocument/2006/relationships/customXml" Target="../ink/ink386.xml"/><Relationship Id="rId974" Type="http://schemas.openxmlformats.org/officeDocument/2006/relationships/image" Target="../media/image485.png"/><Relationship Id="rId199" Type="http://schemas.openxmlformats.org/officeDocument/2006/relationships/image" Target="../media/image99.png"/><Relationship Id="rId627" Type="http://schemas.openxmlformats.org/officeDocument/2006/relationships/image" Target="../media/image313.png"/><Relationship Id="rId834" Type="http://schemas.openxmlformats.org/officeDocument/2006/relationships/image" Target="../media/image415.png"/><Relationship Id="rId266" Type="http://schemas.openxmlformats.org/officeDocument/2006/relationships/customXml" Target="../ink/ink134.xml"/><Relationship Id="rId473" Type="http://schemas.openxmlformats.org/officeDocument/2006/relationships/image" Target="../media/image236.png"/><Relationship Id="rId680" Type="http://schemas.openxmlformats.org/officeDocument/2006/relationships/image" Target="../media/image338.png"/><Relationship Id="rId901" Type="http://schemas.openxmlformats.org/officeDocument/2006/relationships/customXml" Target="../ink/ink453.xml"/><Relationship Id="rId30" Type="http://schemas.openxmlformats.org/officeDocument/2006/relationships/image" Target="../media/image15.png"/><Relationship Id="rId126" Type="http://schemas.openxmlformats.org/officeDocument/2006/relationships/customXml" Target="../ink/ink64.xml"/><Relationship Id="rId333" Type="http://schemas.openxmlformats.org/officeDocument/2006/relationships/image" Target="../media/image166.png"/><Relationship Id="rId540" Type="http://schemas.openxmlformats.org/officeDocument/2006/relationships/customXml" Target="../ink/ink271.xml"/><Relationship Id="rId778" Type="http://schemas.openxmlformats.org/officeDocument/2006/relationships/image" Target="../media/image387.png"/><Relationship Id="rId985" Type="http://schemas.openxmlformats.org/officeDocument/2006/relationships/customXml" Target="../ink/ink494.xml"/><Relationship Id="rId638" Type="http://schemas.openxmlformats.org/officeDocument/2006/relationships/customXml" Target="../ink/ink321.xml"/><Relationship Id="rId845" Type="http://schemas.openxmlformats.org/officeDocument/2006/relationships/customXml" Target="../ink/ink425.xml"/><Relationship Id="rId1030" Type="http://schemas.openxmlformats.org/officeDocument/2006/relationships/image" Target="../media/image513.png"/><Relationship Id="rId277" Type="http://schemas.openxmlformats.org/officeDocument/2006/relationships/image" Target="../media/image138.png"/><Relationship Id="rId400" Type="http://schemas.openxmlformats.org/officeDocument/2006/relationships/customXml" Target="../ink/ink201.xml"/><Relationship Id="rId484" Type="http://schemas.openxmlformats.org/officeDocument/2006/relationships/customXml" Target="../ink/ink243.xml"/><Relationship Id="rId705" Type="http://schemas.openxmlformats.org/officeDocument/2006/relationships/customXml" Target="../ink/ink355.xml"/><Relationship Id="rId137" Type="http://schemas.openxmlformats.org/officeDocument/2006/relationships/image" Target="../media/image68.png"/><Relationship Id="rId344" Type="http://schemas.openxmlformats.org/officeDocument/2006/relationships/customXml" Target="../ink/ink173.xml"/><Relationship Id="rId691" Type="http://schemas.openxmlformats.org/officeDocument/2006/relationships/customXml" Target="../ink/ink348.xml"/><Relationship Id="rId789" Type="http://schemas.openxmlformats.org/officeDocument/2006/relationships/customXml" Target="../ink/ink397.xml"/><Relationship Id="rId912" Type="http://schemas.openxmlformats.org/officeDocument/2006/relationships/image" Target="../media/image454.png"/><Relationship Id="rId996" Type="http://schemas.openxmlformats.org/officeDocument/2006/relationships/image" Target="../media/image496.png"/><Relationship Id="rId41" Type="http://schemas.openxmlformats.org/officeDocument/2006/relationships/customXml" Target="../ink/ink21.xml"/><Relationship Id="rId551" Type="http://schemas.openxmlformats.org/officeDocument/2006/relationships/image" Target="../media/image275.png"/><Relationship Id="rId649" Type="http://schemas.openxmlformats.org/officeDocument/2006/relationships/customXml" Target="../ink/ink327.xml"/><Relationship Id="rId856" Type="http://schemas.openxmlformats.org/officeDocument/2006/relationships/image" Target="../media/image426.png"/><Relationship Id="rId190" Type="http://schemas.openxmlformats.org/officeDocument/2006/relationships/customXml" Target="../ink/ink96.xml"/><Relationship Id="rId204" Type="http://schemas.openxmlformats.org/officeDocument/2006/relationships/customXml" Target="../ink/ink103.xml"/><Relationship Id="rId288" Type="http://schemas.openxmlformats.org/officeDocument/2006/relationships/customXml" Target="../ink/ink145.xml"/><Relationship Id="rId411" Type="http://schemas.openxmlformats.org/officeDocument/2006/relationships/image" Target="../media/image205.png"/><Relationship Id="rId509" Type="http://schemas.openxmlformats.org/officeDocument/2006/relationships/image" Target="../media/image254.png"/><Relationship Id="rId1041" Type="http://schemas.openxmlformats.org/officeDocument/2006/relationships/customXml" Target="../ink/ink522.xml"/><Relationship Id="rId495" Type="http://schemas.openxmlformats.org/officeDocument/2006/relationships/image" Target="../media/image247.png"/><Relationship Id="rId716" Type="http://schemas.openxmlformats.org/officeDocument/2006/relationships/image" Target="../media/image356.png"/><Relationship Id="rId923" Type="http://schemas.openxmlformats.org/officeDocument/2006/relationships/customXml" Target="../ink/ink464.xml"/><Relationship Id="rId52" Type="http://schemas.openxmlformats.org/officeDocument/2006/relationships/image" Target="../media/image26.png"/><Relationship Id="rId148" Type="http://schemas.openxmlformats.org/officeDocument/2006/relationships/customXml" Target="../ink/ink75.xml"/><Relationship Id="rId355" Type="http://schemas.openxmlformats.org/officeDocument/2006/relationships/image" Target="../media/image177.png"/><Relationship Id="rId562" Type="http://schemas.openxmlformats.org/officeDocument/2006/relationships/customXml" Target="../ink/ink282.xml"/><Relationship Id="rId215" Type="http://schemas.openxmlformats.org/officeDocument/2006/relationships/image" Target="../media/image107.png"/><Relationship Id="rId422" Type="http://schemas.openxmlformats.org/officeDocument/2006/relationships/customXml" Target="../ink/ink212.xml"/><Relationship Id="rId867" Type="http://schemas.openxmlformats.org/officeDocument/2006/relationships/customXml" Target="../ink/ink436.xml"/><Relationship Id="rId1052" Type="http://schemas.openxmlformats.org/officeDocument/2006/relationships/image" Target="../media/image524.png"/><Relationship Id="rId299" Type="http://schemas.openxmlformats.org/officeDocument/2006/relationships/image" Target="../media/image149.png"/><Relationship Id="rId727" Type="http://schemas.openxmlformats.org/officeDocument/2006/relationships/customXml" Target="../ink/ink366.xml"/><Relationship Id="rId934" Type="http://schemas.openxmlformats.org/officeDocument/2006/relationships/image" Target="../media/image465.png"/><Relationship Id="rId63" Type="http://schemas.openxmlformats.org/officeDocument/2006/relationships/customXml" Target="../ink/ink32.xml"/><Relationship Id="rId159" Type="http://schemas.openxmlformats.org/officeDocument/2006/relationships/image" Target="../media/image79.png"/><Relationship Id="rId366" Type="http://schemas.openxmlformats.org/officeDocument/2006/relationships/customXml" Target="../ink/ink184.xml"/><Relationship Id="rId573" Type="http://schemas.openxmlformats.org/officeDocument/2006/relationships/image" Target="../media/image286.png"/><Relationship Id="rId780" Type="http://schemas.openxmlformats.org/officeDocument/2006/relationships/image" Target="../media/image388.png"/><Relationship Id="rId226" Type="http://schemas.openxmlformats.org/officeDocument/2006/relationships/customXml" Target="../ink/ink114.xml"/><Relationship Id="rId433" Type="http://schemas.openxmlformats.org/officeDocument/2006/relationships/image" Target="../media/image216.png"/><Relationship Id="rId878" Type="http://schemas.openxmlformats.org/officeDocument/2006/relationships/image" Target="../media/image437.png"/><Relationship Id="rId1063" Type="http://schemas.openxmlformats.org/officeDocument/2006/relationships/customXml" Target="../ink/ink533.xml"/><Relationship Id="rId640" Type="http://schemas.openxmlformats.org/officeDocument/2006/relationships/image" Target="../media/image318.png"/><Relationship Id="rId738" Type="http://schemas.openxmlformats.org/officeDocument/2006/relationships/image" Target="../media/image367.png"/><Relationship Id="rId945" Type="http://schemas.openxmlformats.org/officeDocument/2006/relationships/customXml" Target="../ink/ink475.xml"/><Relationship Id="rId74" Type="http://schemas.openxmlformats.org/officeDocument/2006/relationships/customXml" Target="../ink/ink38.xml"/><Relationship Id="rId377" Type="http://schemas.openxmlformats.org/officeDocument/2006/relationships/image" Target="../media/image188.png"/><Relationship Id="rId500" Type="http://schemas.openxmlformats.org/officeDocument/2006/relationships/customXml" Target="../ink/ink251.xml"/><Relationship Id="rId584" Type="http://schemas.openxmlformats.org/officeDocument/2006/relationships/customXml" Target="../ink/ink293.xml"/><Relationship Id="rId805" Type="http://schemas.openxmlformats.org/officeDocument/2006/relationships/customXml" Target="../ink/ink405.xml"/><Relationship Id="rId5" Type="http://schemas.openxmlformats.org/officeDocument/2006/relationships/customXml" Target="../ink/ink3.xml"/><Relationship Id="rId237" Type="http://schemas.openxmlformats.org/officeDocument/2006/relationships/image" Target="../media/image118.png"/><Relationship Id="rId791" Type="http://schemas.openxmlformats.org/officeDocument/2006/relationships/customXml" Target="../ink/ink398.xml"/><Relationship Id="rId889" Type="http://schemas.openxmlformats.org/officeDocument/2006/relationships/customXml" Target="../ink/ink447.xml"/><Relationship Id="rId1074" Type="http://schemas.openxmlformats.org/officeDocument/2006/relationships/image" Target="../media/image535.png"/><Relationship Id="rId444" Type="http://schemas.openxmlformats.org/officeDocument/2006/relationships/customXml" Target="../ink/ink223.xml"/><Relationship Id="rId651" Type="http://schemas.openxmlformats.org/officeDocument/2006/relationships/customXml" Target="../ink/ink328.xml"/><Relationship Id="rId749" Type="http://schemas.openxmlformats.org/officeDocument/2006/relationships/customXml" Target="../ink/ink377.xml"/><Relationship Id="rId290" Type="http://schemas.openxmlformats.org/officeDocument/2006/relationships/customXml" Target="../ink/ink146.xml"/><Relationship Id="rId304" Type="http://schemas.openxmlformats.org/officeDocument/2006/relationships/customXml" Target="../ink/ink153.xml"/><Relationship Id="rId388" Type="http://schemas.openxmlformats.org/officeDocument/2006/relationships/customXml" Target="../ink/ink195.xml"/><Relationship Id="rId511" Type="http://schemas.openxmlformats.org/officeDocument/2006/relationships/image" Target="../media/image255.png"/><Relationship Id="rId609" Type="http://schemas.openxmlformats.org/officeDocument/2006/relationships/image" Target="../media/image304.png"/><Relationship Id="rId956" Type="http://schemas.openxmlformats.org/officeDocument/2006/relationships/image" Target="../media/image476.png"/><Relationship Id="rId85" Type="http://schemas.openxmlformats.org/officeDocument/2006/relationships/image" Target="../media/image42.png"/><Relationship Id="rId150" Type="http://schemas.openxmlformats.org/officeDocument/2006/relationships/customXml" Target="../ink/ink76.xml"/><Relationship Id="rId595" Type="http://schemas.openxmlformats.org/officeDocument/2006/relationships/image" Target="../media/image297.png"/><Relationship Id="rId816" Type="http://schemas.openxmlformats.org/officeDocument/2006/relationships/image" Target="../media/image406.png"/><Relationship Id="rId1001" Type="http://schemas.openxmlformats.org/officeDocument/2006/relationships/customXml" Target="../ink/ink502.xml"/><Relationship Id="rId248" Type="http://schemas.openxmlformats.org/officeDocument/2006/relationships/customXml" Target="../ink/ink125.xml"/><Relationship Id="rId455" Type="http://schemas.openxmlformats.org/officeDocument/2006/relationships/image" Target="../media/image227.png"/><Relationship Id="rId662" Type="http://schemas.openxmlformats.org/officeDocument/2006/relationships/image" Target="../media/image329.png"/><Relationship Id="rId1085" Type="http://schemas.openxmlformats.org/officeDocument/2006/relationships/customXml" Target="../ink/ink544.xml"/><Relationship Id="rId12" Type="http://schemas.openxmlformats.org/officeDocument/2006/relationships/image" Target="../media/image6.png"/><Relationship Id="rId108" Type="http://schemas.openxmlformats.org/officeDocument/2006/relationships/customXml" Target="../ink/ink55.xml"/><Relationship Id="rId315" Type="http://schemas.openxmlformats.org/officeDocument/2006/relationships/image" Target="../media/image157.png"/><Relationship Id="rId522" Type="http://schemas.openxmlformats.org/officeDocument/2006/relationships/customXml" Target="../ink/ink262.xml"/><Relationship Id="rId967" Type="http://schemas.openxmlformats.org/officeDocument/2006/relationships/customXml" Target="../ink/ink486.xml"/><Relationship Id="rId96" Type="http://schemas.openxmlformats.org/officeDocument/2006/relationships/customXml" Target="../ink/ink49.xml"/><Relationship Id="rId161" Type="http://schemas.openxmlformats.org/officeDocument/2006/relationships/image" Target="../media/image80.png"/><Relationship Id="rId399" Type="http://schemas.openxmlformats.org/officeDocument/2006/relationships/image" Target="../media/image199.png"/><Relationship Id="rId827" Type="http://schemas.openxmlformats.org/officeDocument/2006/relationships/customXml" Target="../ink/ink416.xml"/><Relationship Id="rId1012" Type="http://schemas.openxmlformats.org/officeDocument/2006/relationships/image" Target="../media/image504.png"/><Relationship Id="rId259" Type="http://schemas.openxmlformats.org/officeDocument/2006/relationships/image" Target="../media/image129.png"/><Relationship Id="rId466" Type="http://schemas.openxmlformats.org/officeDocument/2006/relationships/customXml" Target="../ink/ink234.xml"/><Relationship Id="rId673" Type="http://schemas.openxmlformats.org/officeDocument/2006/relationships/customXml" Target="../ink/ink339.xml"/><Relationship Id="rId880" Type="http://schemas.openxmlformats.org/officeDocument/2006/relationships/image" Target="../media/image438.png"/><Relationship Id="rId1096" Type="http://schemas.openxmlformats.org/officeDocument/2006/relationships/image" Target="../media/image1480.png"/><Relationship Id="rId23" Type="http://schemas.openxmlformats.org/officeDocument/2006/relationships/customXml" Target="../ink/ink12.xml"/><Relationship Id="rId119" Type="http://schemas.openxmlformats.org/officeDocument/2006/relationships/image" Target="../media/image59.png"/><Relationship Id="rId326" Type="http://schemas.openxmlformats.org/officeDocument/2006/relationships/customXml" Target="../ink/ink164.xml"/><Relationship Id="rId533" Type="http://schemas.openxmlformats.org/officeDocument/2006/relationships/image" Target="../media/image266.png"/><Relationship Id="rId978" Type="http://schemas.openxmlformats.org/officeDocument/2006/relationships/image" Target="../media/image487.png"/><Relationship Id="rId740" Type="http://schemas.openxmlformats.org/officeDocument/2006/relationships/image" Target="../media/image368.png"/><Relationship Id="rId838" Type="http://schemas.openxmlformats.org/officeDocument/2006/relationships/image" Target="../media/image417.png"/><Relationship Id="rId1023" Type="http://schemas.openxmlformats.org/officeDocument/2006/relationships/customXml" Target="../ink/ink513.xml"/><Relationship Id="rId172" Type="http://schemas.openxmlformats.org/officeDocument/2006/relationships/customXml" Target="../ink/ink87.xml"/><Relationship Id="rId477" Type="http://schemas.openxmlformats.org/officeDocument/2006/relationships/image" Target="../media/image238.png"/><Relationship Id="rId600" Type="http://schemas.openxmlformats.org/officeDocument/2006/relationships/customXml" Target="../ink/ink301.xml"/><Relationship Id="rId684" Type="http://schemas.openxmlformats.org/officeDocument/2006/relationships/image" Target="../media/image340.png"/><Relationship Id="rId337" Type="http://schemas.openxmlformats.org/officeDocument/2006/relationships/image" Target="../media/image1570.png"/><Relationship Id="rId891" Type="http://schemas.openxmlformats.org/officeDocument/2006/relationships/customXml" Target="../ink/ink448.xml"/><Relationship Id="rId905" Type="http://schemas.openxmlformats.org/officeDocument/2006/relationships/customXml" Target="../ink/ink455.xml"/><Relationship Id="rId989" Type="http://schemas.openxmlformats.org/officeDocument/2006/relationships/customXml" Target="../ink/ink496.xml"/><Relationship Id="rId34" Type="http://schemas.openxmlformats.org/officeDocument/2006/relationships/image" Target="../media/image17.png"/><Relationship Id="rId544" Type="http://schemas.openxmlformats.org/officeDocument/2006/relationships/customXml" Target="../ink/ink273.xml"/><Relationship Id="rId751" Type="http://schemas.openxmlformats.org/officeDocument/2006/relationships/customXml" Target="../ink/ink378.xml"/><Relationship Id="rId849" Type="http://schemas.openxmlformats.org/officeDocument/2006/relationships/customXml" Target="../ink/ink427.xml"/><Relationship Id="rId183" Type="http://schemas.openxmlformats.org/officeDocument/2006/relationships/image" Target="../media/image91.png"/><Relationship Id="rId390" Type="http://schemas.openxmlformats.org/officeDocument/2006/relationships/customXml" Target="../ink/ink196.xml"/><Relationship Id="rId404" Type="http://schemas.openxmlformats.org/officeDocument/2006/relationships/customXml" Target="../ink/ink203.xml"/><Relationship Id="rId611" Type="http://schemas.openxmlformats.org/officeDocument/2006/relationships/image" Target="../media/image305.png"/><Relationship Id="rId1034" Type="http://schemas.openxmlformats.org/officeDocument/2006/relationships/image" Target="../media/image515.png"/><Relationship Id="rId250" Type="http://schemas.openxmlformats.org/officeDocument/2006/relationships/customXml" Target="../ink/ink126.xml"/><Relationship Id="rId488" Type="http://schemas.openxmlformats.org/officeDocument/2006/relationships/customXml" Target="../ink/ink245.xml"/><Relationship Id="rId695" Type="http://schemas.openxmlformats.org/officeDocument/2006/relationships/customXml" Target="../ink/ink350.xml"/><Relationship Id="rId709" Type="http://schemas.openxmlformats.org/officeDocument/2006/relationships/customXml" Target="../ink/ink357.xml"/><Relationship Id="rId916" Type="http://schemas.openxmlformats.org/officeDocument/2006/relationships/image" Target="../media/image456.png"/><Relationship Id="rId1101" Type="http://schemas.openxmlformats.org/officeDocument/2006/relationships/customXml" Target="../ink/ink552.xml"/><Relationship Id="rId45" Type="http://schemas.openxmlformats.org/officeDocument/2006/relationships/customXml" Target="../ink/ink23.xml"/><Relationship Id="rId110" Type="http://schemas.openxmlformats.org/officeDocument/2006/relationships/customXml" Target="../ink/ink56.xml"/><Relationship Id="rId348" Type="http://schemas.openxmlformats.org/officeDocument/2006/relationships/customXml" Target="../ink/ink175.xml"/><Relationship Id="rId555" Type="http://schemas.openxmlformats.org/officeDocument/2006/relationships/image" Target="../media/image277.png"/><Relationship Id="rId762" Type="http://schemas.openxmlformats.org/officeDocument/2006/relationships/image" Target="../media/image379.png"/><Relationship Id="rId194" Type="http://schemas.openxmlformats.org/officeDocument/2006/relationships/customXml" Target="../ink/ink98.xml"/><Relationship Id="rId208" Type="http://schemas.openxmlformats.org/officeDocument/2006/relationships/customXml" Target="../ink/ink105.xml"/><Relationship Id="rId415" Type="http://schemas.openxmlformats.org/officeDocument/2006/relationships/image" Target="../media/image207.png"/><Relationship Id="rId622" Type="http://schemas.openxmlformats.org/officeDocument/2006/relationships/customXml" Target="../ink/ink312.xml"/><Relationship Id="rId1045" Type="http://schemas.openxmlformats.org/officeDocument/2006/relationships/customXml" Target="../ink/ink524.xml"/><Relationship Id="rId261" Type="http://schemas.openxmlformats.org/officeDocument/2006/relationships/image" Target="../media/image130.png"/><Relationship Id="rId499" Type="http://schemas.openxmlformats.org/officeDocument/2006/relationships/image" Target="../media/image249.png"/><Relationship Id="rId927" Type="http://schemas.openxmlformats.org/officeDocument/2006/relationships/customXml" Target="../ink/ink466.xml"/><Relationship Id="rId1112" Type="http://schemas.openxmlformats.org/officeDocument/2006/relationships/image" Target="../media/image1560.png"/><Relationship Id="rId56" Type="http://schemas.openxmlformats.org/officeDocument/2006/relationships/image" Target="../media/image28.png"/><Relationship Id="rId359" Type="http://schemas.openxmlformats.org/officeDocument/2006/relationships/image" Target="../media/image179.png"/><Relationship Id="rId566" Type="http://schemas.openxmlformats.org/officeDocument/2006/relationships/customXml" Target="../ink/ink284.xml"/><Relationship Id="rId773" Type="http://schemas.openxmlformats.org/officeDocument/2006/relationships/customXml" Target="../ink/ink389.xml"/><Relationship Id="rId121" Type="http://schemas.openxmlformats.org/officeDocument/2006/relationships/image" Target="../media/image60.png"/><Relationship Id="rId219" Type="http://schemas.openxmlformats.org/officeDocument/2006/relationships/image" Target="../media/image109.png"/><Relationship Id="rId426" Type="http://schemas.openxmlformats.org/officeDocument/2006/relationships/customXml" Target="../ink/ink214.xml"/><Relationship Id="rId633" Type="http://schemas.openxmlformats.org/officeDocument/2006/relationships/image" Target="../media/image316.png"/><Relationship Id="rId980" Type="http://schemas.openxmlformats.org/officeDocument/2006/relationships/image" Target="../media/image488.png"/><Relationship Id="rId1056" Type="http://schemas.openxmlformats.org/officeDocument/2006/relationships/image" Target="../media/image526.png"/><Relationship Id="rId840" Type="http://schemas.openxmlformats.org/officeDocument/2006/relationships/image" Target="../media/image418.png"/><Relationship Id="rId938" Type="http://schemas.openxmlformats.org/officeDocument/2006/relationships/image" Target="../media/image467.png"/><Relationship Id="rId67" Type="http://schemas.openxmlformats.org/officeDocument/2006/relationships/customXml" Target="../ink/ink34.xml"/><Relationship Id="rId272" Type="http://schemas.openxmlformats.org/officeDocument/2006/relationships/customXml" Target="../ink/ink137.xml"/><Relationship Id="rId577" Type="http://schemas.openxmlformats.org/officeDocument/2006/relationships/image" Target="../media/image288.png"/><Relationship Id="rId700" Type="http://schemas.openxmlformats.org/officeDocument/2006/relationships/image" Target="../media/image348.png"/><Relationship Id="rId132" Type="http://schemas.openxmlformats.org/officeDocument/2006/relationships/customXml" Target="../ink/ink67.xml"/><Relationship Id="rId784" Type="http://schemas.openxmlformats.org/officeDocument/2006/relationships/image" Target="../media/image390.png"/><Relationship Id="rId991" Type="http://schemas.openxmlformats.org/officeDocument/2006/relationships/customXml" Target="../ink/ink497.xml"/><Relationship Id="rId1067" Type="http://schemas.openxmlformats.org/officeDocument/2006/relationships/customXml" Target="../ink/ink535.xml"/><Relationship Id="rId437" Type="http://schemas.openxmlformats.org/officeDocument/2006/relationships/image" Target="../media/image218.png"/><Relationship Id="rId644" Type="http://schemas.openxmlformats.org/officeDocument/2006/relationships/image" Target="../media/image320.png"/><Relationship Id="rId851" Type="http://schemas.openxmlformats.org/officeDocument/2006/relationships/customXml" Target="../ink/ink428.xml"/><Relationship Id="rId283" Type="http://schemas.openxmlformats.org/officeDocument/2006/relationships/image" Target="../media/image141.png"/><Relationship Id="rId490" Type="http://schemas.openxmlformats.org/officeDocument/2006/relationships/customXml" Target="../ink/ink246.xml"/><Relationship Id="rId504" Type="http://schemas.openxmlformats.org/officeDocument/2006/relationships/customXml" Target="../ink/ink253.xml"/><Relationship Id="rId711" Type="http://schemas.openxmlformats.org/officeDocument/2006/relationships/customXml" Target="../ink/ink358.xml"/><Relationship Id="rId949" Type="http://schemas.openxmlformats.org/officeDocument/2006/relationships/customXml" Target="../ink/ink477.xml"/><Relationship Id="rId78" Type="http://schemas.openxmlformats.org/officeDocument/2006/relationships/customXml" Target="../ink/ink40.xml"/><Relationship Id="rId143" Type="http://schemas.openxmlformats.org/officeDocument/2006/relationships/image" Target="../media/image71.png"/><Relationship Id="rId350" Type="http://schemas.openxmlformats.org/officeDocument/2006/relationships/customXml" Target="../ink/ink176.xml"/><Relationship Id="rId588" Type="http://schemas.openxmlformats.org/officeDocument/2006/relationships/customXml" Target="../ink/ink295.xml"/><Relationship Id="rId795" Type="http://schemas.openxmlformats.org/officeDocument/2006/relationships/customXml" Target="../ink/ink400.xml"/><Relationship Id="rId809" Type="http://schemas.openxmlformats.org/officeDocument/2006/relationships/customXml" Target="../ink/ink407.xml"/><Relationship Id="rId9" Type="http://schemas.openxmlformats.org/officeDocument/2006/relationships/customXml" Target="../ink/ink5.xml"/><Relationship Id="rId210" Type="http://schemas.openxmlformats.org/officeDocument/2006/relationships/customXml" Target="../ink/ink106.xml"/><Relationship Id="rId448" Type="http://schemas.openxmlformats.org/officeDocument/2006/relationships/customXml" Target="../ink/ink225.xml"/><Relationship Id="rId655" Type="http://schemas.openxmlformats.org/officeDocument/2006/relationships/customXml" Target="../ink/ink330.xml"/><Relationship Id="rId862" Type="http://schemas.openxmlformats.org/officeDocument/2006/relationships/image" Target="../media/image429.png"/><Relationship Id="rId1078" Type="http://schemas.openxmlformats.org/officeDocument/2006/relationships/image" Target="../media/image537.png"/><Relationship Id="rId294" Type="http://schemas.openxmlformats.org/officeDocument/2006/relationships/customXml" Target="../ink/ink148.xml"/><Relationship Id="rId308" Type="http://schemas.openxmlformats.org/officeDocument/2006/relationships/customXml" Target="../ink/ink155.xml"/><Relationship Id="rId515" Type="http://schemas.openxmlformats.org/officeDocument/2006/relationships/image" Target="../media/image257.png"/><Relationship Id="rId722" Type="http://schemas.openxmlformats.org/officeDocument/2006/relationships/image" Target="../media/image359.png"/><Relationship Id="rId89" Type="http://schemas.openxmlformats.org/officeDocument/2006/relationships/image" Target="../media/image44.png"/><Relationship Id="rId154" Type="http://schemas.openxmlformats.org/officeDocument/2006/relationships/customXml" Target="../ink/ink78.xml"/><Relationship Id="rId361" Type="http://schemas.openxmlformats.org/officeDocument/2006/relationships/image" Target="../media/image180.png"/><Relationship Id="rId599" Type="http://schemas.openxmlformats.org/officeDocument/2006/relationships/image" Target="../media/image299.png"/><Relationship Id="rId1005" Type="http://schemas.openxmlformats.org/officeDocument/2006/relationships/customXml" Target="../ink/ink504.xml"/><Relationship Id="rId459" Type="http://schemas.openxmlformats.org/officeDocument/2006/relationships/image" Target="../media/image229.png"/><Relationship Id="rId666" Type="http://schemas.openxmlformats.org/officeDocument/2006/relationships/image" Target="../media/image331.png"/><Relationship Id="rId873" Type="http://schemas.openxmlformats.org/officeDocument/2006/relationships/customXml" Target="../ink/ink439.xml"/><Relationship Id="rId1089" Type="http://schemas.openxmlformats.org/officeDocument/2006/relationships/customXml" Target="../ink/ink546.xml"/><Relationship Id="rId16" Type="http://schemas.openxmlformats.org/officeDocument/2006/relationships/image" Target="../media/image8.png"/><Relationship Id="rId221" Type="http://schemas.openxmlformats.org/officeDocument/2006/relationships/image" Target="../media/image110.png"/><Relationship Id="rId319" Type="http://schemas.openxmlformats.org/officeDocument/2006/relationships/image" Target="../media/image159.png"/><Relationship Id="rId526" Type="http://schemas.openxmlformats.org/officeDocument/2006/relationships/customXml" Target="../ink/ink264.xml"/><Relationship Id="rId733" Type="http://schemas.openxmlformats.org/officeDocument/2006/relationships/customXml" Target="../ink/ink369.xml"/><Relationship Id="rId940" Type="http://schemas.openxmlformats.org/officeDocument/2006/relationships/image" Target="../media/image468.png"/><Relationship Id="rId1016" Type="http://schemas.openxmlformats.org/officeDocument/2006/relationships/image" Target="../media/image506.png"/><Relationship Id="rId165" Type="http://schemas.openxmlformats.org/officeDocument/2006/relationships/image" Target="../media/image82.png"/><Relationship Id="rId372" Type="http://schemas.openxmlformats.org/officeDocument/2006/relationships/customXml" Target="../ink/ink187.xml"/><Relationship Id="rId677" Type="http://schemas.openxmlformats.org/officeDocument/2006/relationships/customXml" Target="../ink/ink341.xml"/><Relationship Id="rId800" Type="http://schemas.openxmlformats.org/officeDocument/2006/relationships/image" Target="../media/image398.png"/><Relationship Id="rId232" Type="http://schemas.openxmlformats.org/officeDocument/2006/relationships/customXml" Target="../ink/ink117.xml"/><Relationship Id="rId884" Type="http://schemas.openxmlformats.org/officeDocument/2006/relationships/image" Target="../media/image440.png"/><Relationship Id="rId27" Type="http://schemas.openxmlformats.org/officeDocument/2006/relationships/customXml" Target="../ink/ink14.xml"/><Relationship Id="rId537" Type="http://schemas.openxmlformats.org/officeDocument/2006/relationships/image" Target="../media/image268.png"/><Relationship Id="rId744" Type="http://schemas.openxmlformats.org/officeDocument/2006/relationships/image" Target="../media/image370.png"/><Relationship Id="rId951" Type="http://schemas.openxmlformats.org/officeDocument/2006/relationships/customXml" Target="../ink/ink478.xml"/><Relationship Id="rId80" Type="http://schemas.openxmlformats.org/officeDocument/2006/relationships/customXml" Target="../ink/ink41.xml"/><Relationship Id="rId176" Type="http://schemas.openxmlformats.org/officeDocument/2006/relationships/customXml" Target="../ink/ink89.xml"/><Relationship Id="rId383" Type="http://schemas.openxmlformats.org/officeDocument/2006/relationships/image" Target="../media/image191.png"/><Relationship Id="rId590" Type="http://schemas.openxmlformats.org/officeDocument/2006/relationships/customXml" Target="../ink/ink296.xml"/><Relationship Id="rId604" Type="http://schemas.openxmlformats.org/officeDocument/2006/relationships/customXml" Target="../ink/ink303.xml"/><Relationship Id="rId811" Type="http://schemas.openxmlformats.org/officeDocument/2006/relationships/customXml" Target="../ink/ink408.xml"/><Relationship Id="rId1027" Type="http://schemas.openxmlformats.org/officeDocument/2006/relationships/customXml" Target="../ink/ink515.xml"/><Relationship Id="rId243" Type="http://schemas.openxmlformats.org/officeDocument/2006/relationships/image" Target="../media/image121.png"/><Relationship Id="rId450" Type="http://schemas.openxmlformats.org/officeDocument/2006/relationships/customXml" Target="../ink/ink226.xml"/><Relationship Id="rId688" Type="http://schemas.openxmlformats.org/officeDocument/2006/relationships/image" Target="../media/image342.png"/><Relationship Id="rId895" Type="http://schemas.openxmlformats.org/officeDocument/2006/relationships/customXml" Target="../ink/ink450.xml"/><Relationship Id="rId909" Type="http://schemas.openxmlformats.org/officeDocument/2006/relationships/customXml" Target="../ink/ink457.xml"/><Relationship Id="rId1080" Type="http://schemas.openxmlformats.org/officeDocument/2006/relationships/image" Target="../media/image538.png"/><Relationship Id="rId38" Type="http://schemas.openxmlformats.org/officeDocument/2006/relationships/image" Target="../media/image19.png"/><Relationship Id="rId103" Type="http://schemas.openxmlformats.org/officeDocument/2006/relationships/image" Target="../media/image51.png"/><Relationship Id="rId310" Type="http://schemas.openxmlformats.org/officeDocument/2006/relationships/customXml" Target="../ink/ink156.xml"/><Relationship Id="rId548" Type="http://schemas.openxmlformats.org/officeDocument/2006/relationships/customXml" Target="../ink/ink275.xml"/><Relationship Id="rId755" Type="http://schemas.openxmlformats.org/officeDocument/2006/relationships/customXml" Target="../ink/ink380.xml"/><Relationship Id="rId962" Type="http://schemas.openxmlformats.org/officeDocument/2006/relationships/image" Target="../media/image479.png"/><Relationship Id="rId91" Type="http://schemas.openxmlformats.org/officeDocument/2006/relationships/image" Target="../media/image45.png"/><Relationship Id="rId187" Type="http://schemas.openxmlformats.org/officeDocument/2006/relationships/image" Target="../media/image93.png"/><Relationship Id="rId394" Type="http://schemas.openxmlformats.org/officeDocument/2006/relationships/customXml" Target="../ink/ink198.xml"/><Relationship Id="rId408" Type="http://schemas.openxmlformats.org/officeDocument/2006/relationships/customXml" Target="../ink/ink205.xml"/><Relationship Id="rId615" Type="http://schemas.openxmlformats.org/officeDocument/2006/relationships/image" Target="../media/image307.png"/><Relationship Id="rId822" Type="http://schemas.openxmlformats.org/officeDocument/2006/relationships/image" Target="../media/image409.png"/><Relationship Id="rId1038" Type="http://schemas.openxmlformats.org/officeDocument/2006/relationships/image" Target="../media/image517.png"/><Relationship Id="rId254" Type="http://schemas.openxmlformats.org/officeDocument/2006/relationships/customXml" Target="../ink/ink128.xml"/><Relationship Id="rId699" Type="http://schemas.openxmlformats.org/officeDocument/2006/relationships/customXml" Target="../ink/ink352.xml"/><Relationship Id="rId1091" Type="http://schemas.openxmlformats.org/officeDocument/2006/relationships/customXml" Target="../ink/ink547.xml"/><Relationship Id="rId1105" Type="http://schemas.openxmlformats.org/officeDocument/2006/relationships/customXml" Target="../ink/ink554.xml"/><Relationship Id="rId49" Type="http://schemas.openxmlformats.org/officeDocument/2006/relationships/customXml" Target="../ink/ink25.xml"/><Relationship Id="rId114" Type="http://schemas.openxmlformats.org/officeDocument/2006/relationships/customXml" Target="../ink/ink58.xml"/><Relationship Id="rId461" Type="http://schemas.openxmlformats.org/officeDocument/2006/relationships/image" Target="../media/image230.png"/><Relationship Id="rId559" Type="http://schemas.openxmlformats.org/officeDocument/2006/relationships/image" Target="../media/image279.png"/><Relationship Id="rId766" Type="http://schemas.openxmlformats.org/officeDocument/2006/relationships/image" Target="../media/image381.png"/><Relationship Id="rId198" Type="http://schemas.openxmlformats.org/officeDocument/2006/relationships/customXml" Target="../ink/ink100.xml"/><Relationship Id="rId321" Type="http://schemas.openxmlformats.org/officeDocument/2006/relationships/image" Target="../media/image1600.png"/><Relationship Id="rId419" Type="http://schemas.openxmlformats.org/officeDocument/2006/relationships/image" Target="../media/image209.png"/><Relationship Id="rId626" Type="http://schemas.openxmlformats.org/officeDocument/2006/relationships/customXml" Target="../ink/ink314.xml"/><Relationship Id="rId973" Type="http://schemas.openxmlformats.org/officeDocument/2006/relationships/customXml" Target="../ink/ink489.xml"/><Relationship Id="rId1049" Type="http://schemas.openxmlformats.org/officeDocument/2006/relationships/customXml" Target="../ink/ink526.xml"/><Relationship Id="rId833" Type="http://schemas.openxmlformats.org/officeDocument/2006/relationships/customXml" Target="../ink/ink419.xml"/><Relationship Id="rId265" Type="http://schemas.openxmlformats.org/officeDocument/2006/relationships/image" Target="../media/image132.png"/><Relationship Id="rId472" Type="http://schemas.openxmlformats.org/officeDocument/2006/relationships/customXml" Target="../ink/ink237.xml"/><Relationship Id="rId900" Type="http://schemas.openxmlformats.org/officeDocument/2006/relationships/image" Target="../media/image448.png"/><Relationship Id="rId125" Type="http://schemas.openxmlformats.org/officeDocument/2006/relationships/image" Target="../media/image62.png"/><Relationship Id="rId332" Type="http://schemas.openxmlformats.org/officeDocument/2006/relationships/customXml" Target="../ink/ink167.xml"/><Relationship Id="rId777" Type="http://schemas.openxmlformats.org/officeDocument/2006/relationships/customXml" Target="../ink/ink391.xml"/><Relationship Id="rId984" Type="http://schemas.openxmlformats.org/officeDocument/2006/relationships/image" Target="../media/image490.png"/><Relationship Id="rId637" Type="http://schemas.openxmlformats.org/officeDocument/2006/relationships/customXml" Target="../ink/ink320.xml"/><Relationship Id="rId844" Type="http://schemas.openxmlformats.org/officeDocument/2006/relationships/image" Target="../media/image420.png"/><Relationship Id="rId276" Type="http://schemas.openxmlformats.org/officeDocument/2006/relationships/customXml" Target="../ink/ink139.xml"/><Relationship Id="rId483" Type="http://schemas.openxmlformats.org/officeDocument/2006/relationships/image" Target="../media/image241.png"/><Relationship Id="rId690" Type="http://schemas.openxmlformats.org/officeDocument/2006/relationships/image" Target="../media/image343.png"/><Relationship Id="rId704" Type="http://schemas.openxmlformats.org/officeDocument/2006/relationships/image" Target="../media/image350.png"/><Relationship Id="rId911" Type="http://schemas.openxmlformats.org/officeDocument/2006/relationships/customXml" Target="../ink/ink458.xml"/><Relationship Id="rId40" Type="http://schemas.openxmlformats.org/officeDocument/2006/relationships/image" Target="../media/image20.png"/><Relationship Id="rId136" Type="http://schemas.openxmlformats.org/officeDocument/2006/relationships/customXml" Target="../ink/ink69.xml"/><Relationship Id="rId343" Type="http://schemas.openxmlformats.org/officeDocument/2006/relationships/image" Target="../media/image171.png"/><Relationship Id="rId550" Type="http://schemas.openxmlformats.org/officeDocument/2006/relationships/customXml" Target="../ink/ink276.xml"/><Relationship Id="rId788" Type="http://schemas.openxmlformats.org/officeDocument/2006/relationships/image" Target="../media/image392.png"/><Relationship Id="rId995" Type="http://schemas.openxmlformats.org/officeDocument/2006/relationships/customXml" Target="../ink/ink499.xml"/><Relationship Id="rId203" Type="http://schemas.openxmlformats.org/officeDocument/2006/relationships/image" Target="../media/image101.png"/><Relationship Id="rId648" Type="http://schemas.openxmlformats.org/officeDocument/2006/relationships/image" Target="../media/image322.png"/><Relationship Id="rId855" Type="http://schemas.openxmlformats.org/officeDocument/2006/relationships/customXml" Target="../ink/ink430.xml"/><Relationship Id="rId1040" Type="http://schemas.openxmlformats.org/officeDocument/2006/relationships/image" Target="../media/image518.png"/><Relationship Id="rId287" Type="http://schemas.openxmlformats.org/officeDocument/2006/relationships/image" Target="../media/image143.png"/><Relationship Id="rId410" Type="http://schemas.openxmlformats.org/officeDocument/2006/relationships/customXml" Target="../ink/ink206.xml"/><Relationship Id="rId494" Type="http://schemas.openxmlformats.org/officeDocument/2006/relationships/customXml" Target="../ink/ink248.xml"/><Relationship Id="rId508" Type="http://schemas.openxmlformats.org/officeDocument/2006/relationships/customXml" Target="../ink/ink255.xml"/><Relationship Id="rId715" Type="http://schemas.openxmlformats.org/officeDocument/2006/relationships/customXml" Target="../ink/ink360.xml"/><Relationship Id="rId922" Type="http://schemas.openxmlformats.org/officeDocument/2006/relationships/image" Target="../media/image459.png"/><Relationship Id="rId147" Type="http://schemas.openxmlformats.org/officeDocument/2006/relationships/image" Target="../media/image73.png"/><Relationship Id="rId354" Type="http://schemas.openxmlformats.org/officeDocument/2006/relationships/customXml" Target="../ink/ink178.xml"/><Relationship Id="rId799" Type="http://schemas.openxmlformats.org/officeDocument/2006/relationships/customXml" Target="../ink/ink402.xml"/><Relationship Id="rId51" Type="http://schemas.openxmlformats.org/officeDocument/2006/relationships/customXml" Target="../ink/ink26.xml"/><Relationship Id="rId561" Type="http://schemas.openxmlformats.org/officeDocument/2006/relationships/image" Target="../media/image280.png"/><Relationship Id="rId659" Type="http://schemas.openxmlformats.org/officeDocument/2006/relationships/customXml" Target="../ink/ink332.xml"/><Relationship Id="rId866" Type="http://schemas.openxmlformats.org/officeDocument/2006/relationships/image" Target="../media/image431.png"/><Relationship Id="rId214" Type="http://schemas.openxmlformats.org/officeDocument/2006/relationships/customXml" Target="../ink/ink108.xml"/><Relationship Id="rId298" Type="http://schemas.openxmlformats.org/officeDocument/2006/relationships/customXml" Target="../ink/ink150.xml"/><Relationship Id="rId421" Type="http://schemas.openxmlformats.org/officeDocument/2006/relationships/image" Target="../media/image210.png"/><Relationship Id="rId519" Type="http://schemas.openxmlformats.org/officeDocument/2006/relationships/image" Target="../media/image259.png"/><Relationship Id="rId1051" Type="http://schemas.openxmlformats.org/officeDocument/2006/relationships/customXml" Target="../ink/ink527.xml"/><Relationship Id="rId158" Type="http://schemas.openxmlformats.org/officeDocument/2006/relationships/customXml" Target="../ink/ink80.xml"/><Relationship Id="rId726" Type="http://schemas.openxmlformats.org/officeDocument/2006/relationships/image" Target="../media/image361.png"/><Relationship Id="rId933" Type="http://schemas.openxmlformats.org/officeDocument/2006/relationships/customXml" Target="../ink/ink469.xml"/><Relationship Id="rId1009" Type="http://schemas.openxmlformats.org/officeDocument/2006/relationships/customXml" Target="../ink/ink506.xml"/><Relationship Id="rId62" Type="http://schemas.openxmlformats.org/officeDocument/2006/relationships/image" Target="../media/image31.png"/><Relationship Id="rId365" Type="http://schemas.openxmlformats.org/officeDocument/2006/relationships/image" Target="../media/image182.png"/><Relationship Id="rId572" Type="http://schemas.openxmlformats.org/officeDocument/2006/relationships/customXml" Target="../ink/ink287.xml"/><Relationship Id="rId225" Type="http://schemas.openxmlformats.org/officeDocument/2006/relationships/image" Target="../media/image112.png"/><Relationship Id="rId432" Type="http://schemas.openxmlformats.org/officeDocument/2006/relationships/customXml" Target="../ink/ink217.xml"/><Relationship Id="rId877" Type="http://schemas.openxmlformats.org/officeDocument/2006/relationships/customXml" Target="../ink/ink441.xml"/><Relationship Id="rId1062" Type="http://schemas.openxmlformats.org/officeDocument/2006/relationships/image" Target="../media/image529.png"/><Relationship Id="rId737" Type="http://schemas.openxmlformats.org/officeDocument/2006/relationships/customXml" Target="../ink/ink371.xml"/><Relationship Id="rId944" Type="http://schemas.openxmlformats.org/officeDocument/2006/relationships/image" Target="../media/image470.png"/><Relationship Id="rId73" Type="http://schemas.openxmlformats.org/officeDocument/2006/relationships/image" Target="../media/image36.png"/><Relationship Id="rId169" Type="http://schemas.openxmlformats.org/officeDocument/2006/relationships/image" Target="../media/image84.png"/><Relationship Id="rId376" Type="http://schemas.openxmlformats.org/officeDocument/2006/relationships/customXml" Target="../ink/ink189.xml"/><Relationship Id="rId583" Type="http://schemas.openxmlformats.org/officeDocument/2006/relationships/image" Target="../media/image291.png"/><Relationship Id="rId790" Type="http://schemas.openxmlformats.org/officeDocument/2006/relationships/image" Target="../media/image393.png"/><Relationship Id="rId804" Type="http://schemas.openxmlformats.org/officeDocument/2006/relationships/image" Target="../media/image400.png"/><Relationship Id="rId4" Type="http://schemas.openxmlformats.org/officeDocument/2006/relationships/image" Target="../media/image2.png"/><Relationship Id="rId236" Type="http://schemas.openxmlformats.org/officeDocument/2006/relationships/customXml" Target="../ink/ink119.xml"/><Relationship Id="rId443" Type="http://schemas.openxmlformats.org/officeDocument/2006/relationships/image" Target="../media/image221.png"/><Relationship Id="rId650" Type="http://schemas.openxmlformats.org/officeDocument/2006/relationships/image" Target="../media/image323.png"/><Relationship Id="rId888" Type="http://schemas.openxmlformats.org/officeDocument/2006/relationships/image" Target="../media/image442.png"/><Relationship Id="rId1073" Type="http://schemas.openxmlformats.org/officeDocument/2006/relationships/customXml" Target="../ink/ink538.xml"/><Relationship Id="rId303" Type="http://schemas.openxmlformats.org/officeDocument/2006/relationships/image" Target="../media/image151.png"/><Relationship Id="rId748" Type="http://schemas.openxmlformats.org/officeDocument/2006/relationships/image" Target="../media/image372.png"/><Relationship Id="rId955" Type="http://schemas.openxmlformats.org/officeDocument/2006/relationships/customXml" Target="../ink/ink480.xml"/><Relationship Id="rId84" Type="http://schemas.openxmlformats.org/officeDocument/2006/relationships/customXml" Target="../ink/ink43.xml"/><Relationship Id="rId387" Type="http://schemas.openxmlformats.org/officeDocument/2006/relationships/image" Target="../media/image193.png"/><Relationship Id="rId510" Type="http://schemas.openxmlformats.org/officeDocument/2006/relationships/customXml" Target="../ink/ink256.xml"/><Relationship Id="rId594" Type="http://schemas.openxmlformats.org/officeDocument/2006/relationships/customXml" Target="../ink/ink298.xml"/><Relationship Id="rId608" Type="http://schemas.openxmlformats.org/officeDocument/2006/relationships/customXml" Target="../ink/ink305.xml"/><Relationship Id="rId815" Type="http://schemas.openxmlformats.org/officeDocument/2006/relationships/customXml" Target="../ink/ink410.xml"/><Relationship Id="rId247" Type="http://schemas.openxmlformats.org/officeDocument/2006/relationships/image" Target="../media/image123.png"/><Relationship Id="rId899" Type="http://schemas.openxmlformats.org/officeDocument/2006/relationships/customXml" Target="../ink/ink452.xml"/><Relationship Id="rId1000" Type="http://schemas.openxmlformats.org/officeDocument/2006/relationships/image" Target="../media/image498.png"/><Relationship Id="rId1084" Type="http://schemas.openxmlformats.org/officeDocument/2006/relationships/image" Target="../media/image540.png"/><Relationship Id="rId107" Type="http://schemas.openxmlformats.org/officeDocument/2006/relationships/image" Target="../media/image160.png"/><Relationship Id="rId454" Type="http://schemas.openxmlformats.org/officeDocument/2006/relationships/customXml" Target="../ink/ink228.xml"/><Relationship Id="rId661" Type="http://schemas.openxmlformats.org/officeDocument/2006/relationships/customXml" Target="../ink/ink333.xml"/><Relationship Id="rId759" Type="http://schemas.openxmlformats.org/officeDocument/2006/relationships/customXml" Target="../ink/ink382.xml"/><Relationship Id="rId966" Type="http://schemas.openxmlformats.org/officeDocument/2006/relationships/image" Target="../media/image481.png"/><Relationship Id="rId11" Type="http://schemas.openxmlformats.org/officeDocument/2006/relationships/customXml" Target="../ink/ink6.xml"/><Relationship Id="rId314" Type="http://schemas.openxmlformats.org/officeDocument/2006/relationships/customXml" Target="../ink/ink158.xml"/><Relationship Id="rId398" Type="http://schemas.openxmlformats.org/officeDocument/2006/relationships/customXml" Target="../ink/ink200.xml"/><Relationship Id="rId521" Type="http://schemas.openxmlformats.org/officeDocument/2006/relationships/image" Target="../media/image260.png"/><Relationship Id="rId619" Type="http://schemas.openxmlformats.org/officeDocument/2006/relationships/image" Target="../media/image309.png"/><Relationship Id="rId95" Type="http://schemas.openxmlformats.org/officeDocument/2006/relationships/image" Target="../media/image47.png"/><Relationship Id="rId160" Type="http://schemas.openxmlformats.org/officeDocument/2006/relationships/customXml" Target="../ink/ink81.xml"/><Relationship Id="rId826" Type="http://schemas.openxmlformats.org/officeDocument/2006/relationships/image" Target="../media/image411.png"/><Relationship Id="rId1011" Type="http://schemas.openxmlformats.org/officeDocument/2006/relationships/customXml" Target="../ink/ink507.xml"/><Relationship Id="rId1109" Type="http://schemas.openxmlformats.org/officeDocument/2006/relationships/customXml" Target="../ink/ink556.xml"/><Relationship Id="rId258" Type="http://schemas.openxmlformats.org/officeDocument/2006/relationships/customXml" Target="../ink/ink130.xml"/><Relationship Id="rId465" Type="http://schemas.openxmlformats.org/officeDocument/2006/relationships/image" Target="../media/image232.png"/><Relationship Id="rId672" Type="http://schemas.openxmlformats.org/officeDocument/2006/relationships/image" Target="../media/image334.png"/><Relationship Id="rId1095" Type="http://schemas.openxmlformats.org/officeDocument/2006/relationships/customXml" Target="../ink/ink549.xml"/><Relationship Id="rId22" Type="http://schemas.openxmlformats.org/officeDocument/2006/relationships/image" Target="../media/image11.png"/><Relationship Id="rId118" Type="http://schemas.openxmlformats.org/officeDocument/2006/relationships/customXml" Target="../ink/ink60.xml"/><Relationship Id="rId325" Type="http://schemas.openxmlformats.org/officeDocument/2006/relationships/image" Target="../media/image162.png"/><Relationship Id="rId532" Type="http://schemas.openxmlformats.org/officeDocument/2006/relationships/customXml" Target="../ink/ink267.xml"/><Relationship Id="rId977" Type="http://schemas.openxmlformats.org/officeDocument/2006/relationships/customXml" Target="../ink/ink491.xml"/><Relationship Id="rId171" Type="http://schemas.openxmlformats.org/officeDocument/2006/relationships/image" Target="../media/image85.png"/><Relationship Id="rId837" Type="http://schemas.openxmlformats.org/officeDocument/2006/relationships/customXml" Target="../ink/ink421.xml"/><Relationship Id="rId1022" Type="http://schemas.openxmlformats.org/officeDocument/2006/relationships/image" Target="../media/image509.png"/><Relationship Id="rId269" Type="http://schemas.openxmlformats.org/officeDocument/2006/relationships/image" Target="../media/image134.png"/><Relationship Id="rId476" Type="http://schemas.openxmlformats.org/officeDocument/2006/relationships/customXml" Target="../ink/ink239.xml"/><Relationship Id="rId683" Type="http://schemas.openxmlformats.org/officeDocument/2006/relationships/customXml" Target="../ink/ink344.xml"/><Relationship Id="rId890" Type="http://schemas.openxmlformats.org/officeDocument/2006/relationships/image" Target="../media/image443.png"/><Relationship Id="rId904" Type="http://schemas.openxmlformats.org/officeDocument/2006/relationships/image" Target="../media/image450.png"/><Relationship Id="rId33" Type="http://schemas.openxmlformats.org/officeDocument/2006/relationships/customXml" Target="../ink/ink17.xml"/><Relationship Id="rId129" Type="http://schemas.openxmlformats.org/officeDocument/2006/relationships/image" Target="../media/image64.png"/><Relationship Id="rId336" Type="http://schemas.openxmlformats.org/officeDocument/2006/relationships/customXml" Target="../ink/ink169.xml"/><Relationship Id="rId543" Type="http://schemas.openxmlformats.org/officeDocument/2006/relationships/image" Target="../media/image271.png"/><Relationship Id="rId988" Type="http://schemas.openxmlformats.org/officeDocument/2006/relationships/image" Target="../media/image492.png"/><Relationship Id="rId182" Type="http://schemas.openxmlformats.org/officeDocument/2006/relationships/customXml" Target="../ink/ink92.xml"/><Relationship Id="rId403" Type="http://schemas.openxmlformats.org/officeDocument/2006/relationships/image" Target="../media/image201.png"/><Relationship Id="rId750" Type="http://schemas.openxmlformats.org/officeDocument/2006/relationships/image" Target="../media/image373.png"/><Relationship Id="rId848" Type="http://schemas.openxmlformats.org/officeDocument/2006/relationships/image" Target="../media/image422.png"/><Relationship Id="rId1033" Type="http://schemas.openxmlformats.org/officeDocument/2006/relationships/customXml" Target="../ink/ink518.xml"/><Relationship Id="rId487" Type="http://schemas.openxmlformats.org/officeDocument/2006/relationships/image" Target="../media/image243.png"/><Relationship Id="rId610" Type="http://schemas.openxmlformats.org/officeDocument/2006/relationships/customXml" Target="../ink/ink306.xml"/><Relationship Id="rId694" Type="http://schemas.openxmlformats.org/officeDocument/2006/relationships/image" Target="../media/image345.png"/><Relationship Id="rId708" Type="http://schemas.openxmlformats.org/officeDocument/2006/relationships/image" Target="../media/image352.png"/><Relationship Id="rId915" Type="http://schemas.openxmlformats.org/officeDocument/2006/relationships/customXml" Target="../ink/ink460.xml"/><Relationship Id="rId347" Type="http://schemas.openxmlformats.org/officeDocument/2006/relationships/image" Target="../media/image173.png"/><Relationship Id="rId999" Type="http://schemas.openxmlformats.org/officeDocument/2006/relationships/customXml" Target="../ink/ink501.xml"/><Relationship Id="rId1100" Type="http://schemas.openxmlformats.org/officeDocument/2006/relationships/image" Target="../media/image1500.png"/><Relationship Id="rId44" Type="http://schemas.openxmlformats.org/officeDocument/2006/relationships/image" Target="../media/image22.png"/><Relationship Id="rId554" Type="http://schemas.openxmlformats.org/officeDocument/2006/relationships/customXml" Target="../ink/ink278.xml"/><Relationship Id="rId761" Type="http://schemas.openxmlformats.org/officeDocument/2006/relationships/customXml" Target="../ink/ink383.xml"/><Relationship Id="rId859" Type="http://schemas.openxmlformats.org/officeDocument/2006/relationships/customXml" Target="../ink/ink432.xml"/><Relationship Id="rId193" Type="http://schemas.openxmlformats.org/officeDocument/2006/relationships/image" Target="../media/image96.png"/><Relationship Id="rId207" Type="http://schemas.openxmlformats.org/officeDocument/2006/relationships/image" Target="../media/image103.png"/><Relationship Id="rId414" Type="http://schemas.openxmlformats.org/officeDocument/2006/relationships/customXml" Target="../ink/ink208.xml"/><Relationship Id="rId498" Type="http://schemas.openxmlformats.org/officeDocument/2006/relationships/customXml" Target="../ink/ink250.xml"/><Relationship Id="rId621" Type="http://schemas.openxmlformats.org/officeDocument/2006/relationships/image" Target="../media/image310.png"/><Relationship Id="rId1044" Type="http://schemas.openxmlformats.org/officeDocument/2006/relationships/image" Target="../media/image520.png"/><Relationship Id="rId260" Type="http://schemas.openxmlformats.org/officeDocument/2006/relationships/customXml" Target="../ink/ink131.xml"/><Relationship Id="rId719" Type="http://schemas.openxmlformats.org/officeDocument/2006/relationships/customXml" Target="../ink/ink362.xml"/><Relationship Id="rId926" Type="http://schemas.openxmlformats.org/officeDocument/2006/relationships/image" Target="../media/image461.png"/><Relationship Id="rId1111" Type="http://schemas.openxmlformats.org/officeDocument/2006/relationships/customXml" Target="../ink/ink557.xml"/><Relationship Id="rId55" Type="http://schemas.openxmlformats.org/officeDocument/2006/relationships/customXml" Target="../ink/ink28.xml"/><Relationship Id="rId120" Type="http://schemas.openxmlformats.org/officeDocument/2006/relationships/customXml" Target="../ink/ink61.xml"/><Relationship Id="rId358" Type="http://schemas.openxmlformats.org/officeDocument/2006/relationships/customXml" Target="../ink/ink180.xml"/><Relationship Id="rId565" Type="http://schemas.openxmlformats.org/officeDocument/2006/relationships/image" Target="../media/image282.png"/><Relationship Id="rId772" Type="http://schemas.openxmlformats.org/officeDocument/2006/relationships/image" Target="../media/image384.png"/><Relationship Id="rId218" Type="http://schemas.openxmlformats.org/officeDocument/2006/relationships/customXml" Target="../ink/ink110.xml"/><Relationship Id="rId425" Type="http://schemas.openxmlformats.org/officeDocument/2006/relationships/image" Target="../media/image212.png"/><Relationship Id="rId632" Type="http://schemas.openxmlformats.org/officeDocument/2006/relationships/customXml" Target="../ink/ink317.xml"/><Relationship Id="rId1055" Type="http://schemas.openxmlformats.org/officeDocument/2006/relationships/customXml" Target="../ink/ink529.xml"/><Relationship Id="rId271" Type="http://schemas.openxmlformats.org/officeDocument/2006/relationships/image" Target="../media/image135.png"/><Relationship Id="rId937" Type="http://schemas.openxmlformats.org/officeDocument/2006/relationships/customXml" Target="../ink/ink471.xml"/><Relationship Id="rId66" Type="http://schemas.openxmlformats.org/officeDocument/2006/relationships/image" Target="../media/image33.png"/><Relationship Id="rId131" Type="http://schemas.openxmlformats.org/officeDocument/2006/relationships/image" Target="../media/image65.png"/><Relationship Id="rId369" Type="http://schemas.openxmlformats.org/officeDocument/2006/relationships/image" Target="../media/image184.png"/><Relationship Id="rId576" Type="http://schemas.openxmlformats.org/officeDocument/2006/relationships/customXml" Target="../ink/ink289.xml"/><Relationship Id="rId783" Type="http://schemas.openxmlformats.org/officeDocument/2006/relationships/customXml" Target="../ink/ink394.xml"/><Relationship Id="rId990" Type="http://schemas.openxmlformats.org/officeDocument/2006/relationships/image" Target="../media/image493.png"/><Relationship Id="rId229" Type="http://schemas.openxmlformats.org/officeDocument/2006/relationships/image" Target="../media/image114.png"/><Relationship Id="rId436" Type="http://schemas.openxmlformats.org/officeDocument/2006/relationships/customXml" Target="../ink/ink219.xml"/><Relationship Id="rId643" Type="http://schemas.openxmlformats.org/officeDocument/2006/relationships/customXml" Target="../ink/ink324.xml"/><Relationship Id="rId1066" Type="http://schemas.openxmlformats.org/officeDocument/2006/relationships/image" Target="../media/image531.png"/><Relationship Id="rId850" Type="http://schemas.openxmlformats.org/officeDocument/2006/relationships/image" Target="../media/image423.png"/><Relationship Id="rId948" Type="http://schemas.openxmlformats.org/officeDocument/2006/relationships/image" Target="../media/image472.png"/><Relationship Id="rId77" Type="http://schemas.openxmlformats.org/officeDocument/2006/relationships/image" Target="../media/image38.png"/><Relationship Id="rId282" Type="http://schemas.openxmlformats.org/officeDocument/2006/relationships/customXml" Target="../ink/ink142.xml"/><Relationship Id="rId503" Type="http://schemas.openxmlformats.org/officeDocument/2006/relationships/image" Target="../media/image251.png"/><Relationship Id="rId587" Type="http://schemas.openxmlformats.org/officeDocument/2006/relationships/image" Target="../media/image293.png"/><Relationship Id="rId710" Type="http://schemas.openxmlformats.org/officeDocument/2006/relationships/image" Target="../media/image353.png"/><Relationship Id="rId808" Type="http://schemas.openxmlformats.org/officeDocument/2006/relationships/image" Target="../media/image402.png"/><Relationship Id="rId8" Type="http://schemas.openxmlformats.org/officeDocument/2006/relationships/image" Target="../media/image4.png"/><Relationship Id="rId142" Type="http://schemas.openxmlformats.org/officeDocument/2006/relationships/customXml" Target="../ink/ink72.xml"/><Relationship Id="rId447" Type="http://schemas.openxmlformats.org/officeDocument/2006/relationships/image" Target="../media/image223.png"/><Relationship Id="rId794" Type="http://schemas.openxmlformats.org/officeDocument/2006/relationships/image" Target="../media/image395.png"/><Relationship Id="rId1077" Type="http://schemas.openxmlformats.org/officeDocument/2006/relationships/customXml" Target="../ink/ink540.xml"/><Relationship Id="rId654" Type="http://schemas.openxmlformats.org/officeDocument/2006/relationships/image" Target="../media/image325.png"/><Relationship Id="rId861" Type="http://schemas.openxmlformats.org/officeDocument/2006/relationships/customXml" Target="../ink/ink433.xml"/><Relationship Id="rId959" Type="http://schemas.openxmlformats.org/officeDocument/2006/relationships/customXml" Target="../ink/ink482.xml"/><Relationship Id="rId293" Type="http://schemas.openxmlformats.org/officeDocument/2006/relationships/image" Target="../media/image146.png"/><Relationship Id="rId307" Type="http://schemas.openxmlformats.org/officeDocument/2006/relationships/image" Target="../media/image153.png"/><Relationship Id="rId514" Type="http://schemas.openxmlformats.org/officeDocument/2006/relationships/customXml" Target="../ink/ink258.xml"/><Relationship Id="rId721" Type="http://schemas.openxmlformats.org/officeDocument/2006/relationships/customXml" Target="../ink/ink363.xml"/><Relationship Id="rId88" Type="http://schemas.openxmlformats.org/officeDocument/2006/relationships/customXml" Target="../ink/ink45.xml"/><Relationship Id="rId153" Type="http://schemas.openxmlformats.org/officeDocument/2006/relationships/image" Target="../media/image76.png"/><Relationship Id="rId360" Type="http://schemas.openxmlformats.org/officeDocument/2006/relationships/customXml" Target="../ink/ink181.xml"/><Relationship Id="rId598" Type="http://schemas.openxmlformats.org/officeDocument/2006/relationships/customXml" Target="../ink/ink300.xml"/><Relationship Id="rId819" Type="http://schemas.openxmlformats.org/officeDocument/2006/relationships/customXml" Target="../ink/ink412.xml"/><Relationship Id="rId1004" Type="http://schemas.openxmlformats.org/officeDocument/2006/relationships/image" Target="../media/image500.png"/><Relationship Id="rId220" Type="http://schemas.openxmlformats.org/officeDocument/2006/relationships/customXml" Target="../ink/ink111.xml"/><Relationship Id="rId458" Type="http://schemas.openxmlformats.org/officeDocument/2006/relationships/customXml" Target="../ink/ink230.xml"/><Relationship Id="rId665" Type="http://schemas.openxmlformats.org/officeDocument/2006/relationships/customXml" Target="../ink/ink335.xml"/><Relationship Id="rId872" Type="http://schemas.openxmlformats.org/officeDocument/2006/relationships/image" Target="../media/image434.png"/><Relationship Id="rId1088" Type="http://schemas.openxmlformats.org/officeDocument/2006/relationships/image" Target="../media/image542.png"/><Relationship Id="rId15" Type="http://schemas.openxmlformats.org/officeDocument/2006/relationships/customXml" Target="../ink/ink8.xml"/><Relationship Id="rId318" Type="http://schemas.openxmlformats.org/officeDocument/2006/relationships/customXml" Target="../ink/ink160.xml"/><Relationship Id="rId525" Type="http://schemas.openxmlformats.org/officeDocument/2006/relationships/image" Target="../media/image262.png"/><Relationship Id="rId732" Type="http://schemas.openxmlformats.org/officeDocument/2006/relationships/image" Target="../media/image364.png"/><Relationship Id="rId99" Type="http://schemas.openxmlformats.org/officeDocument/2006/relationships/image" Target="../media/image49.png"/><Relationship Id="rId164" Type="http://schemas.openxmlformats.org/officeDocument/2006/relationships/customXml" Target="../ink/ink83.xml"/><Relationship Id="rId371" Type="http://schemas.openxmlformats.org/officeDocument/2006/relationships/image" Target="../media/image185.png"/><Relationship Id="rId1015" Type="http://schemas.openxmlformats.org/officeDocument/2006/relationships/customXml" Target="../ink/ink509.xml"/><Relationship Id="rId469" Type="http://schemas.openxmlformats.org/officeDocument/2006/relationships/image" Target="../media/image234.png"/><Relationship Id="rId676" Type="http://schemas.openxmlformats.org/officeDocument/2006/relationships/image" Target="../media/image336.png"/><Relationship Id="rId883" Type="http://schemas.openxmlformats.org/officeDocument/2006/relationships/customXml" Target="../ink/ink444.xml"/><Relationship Id="rId1099" Type="http://schemas.openxmlformats.org/officeDocument/2006/relationships/customXml" Target="../ink/ink551.xml"/><Relationship Id="rId26" Type="http://schemas.openxmlformats.org/officeDocument/2006/relationships/image" Target="../media/image13.png"/><Relationship Id="rId231" Type="http://schemas.openxmlformats.org/officeDocument/2006/relationships/image" Target="../media/image115.png"/><Relationship Id="rId329" Type="http://schemas.openxmlformats.org/officeDocument/2006/relationships/image" Target="../media/image164.png"/><Relationship Id="rId536" Type="http://schemas.openxmlformats.org/officeDocument/2006/relationships/customXml" Target="../ink/ink269.xml"/><Relationship Id="rId175" Type="http://schemas.openxmlformats.org/officeDocument/2006/relationships/image" Target="../media/image87.png"/><Relationship Id="rId743" Type="http://schemas.openxmlformats.org/officeDocument/2006/relationships/customXml" Target="../ink/ink374.xml"/><Relationship Id="rId950" Type="http://schemas.openxmlformats.org/officeDocument/2006/relationships/image" Target="../media/image473.png"/><Relationship Id="rId1026" Type="http://schemas.openxmlformats.org/officeDocument/2006/relationships/image" Target="../media/image511.png"/><Relationship Id="rId382" Type="http://schemas.openxmlformats.org/officeDocument/2006/relationships/customXml" Target="../ink/ink192.xml"/><Relationship Id="rId603" Type="http://schemas.openxmlformats.org/officeDocument/2006/relationships/image" Target="../media/image301.png"/><Relationship Id="rId687" Type="http://schemas.openxmlformats.org/officeDocument/2006/relationships/customXml" Target="../ink/ink346.xml"/><Relationship Id="rId810" Type="http://schemas.openxmlformats.org/officeDocument/2006/relationships/image" Target="../media/image403.png"/><Relationship Id="rId908" Type="http://schemas.openxmlformats.org/officeDocument/2006/relationships/image" Target="../media/image452.png"/><Relationship Id="rId242" Type="http://schemas.openxmlformats.org/officeDocument/2006/relationships/customXml" Target="../ink/ink122.xml"/><Relationship Id="rId894" Type="http://schemas.openxmlformats.org/officeDocument/2006/relationships/image" Target="../media/image445.png"/><Relationship Id="rId37" Type="http://schemas.openxmlformats.org/officeDocument/2006/relationships/customXml" Target="../ink/ink19.xml"/><Relationship Id="rId102" Type="http://schemas.openxmlformats.org/officeDocument/2006/relationships/customXml" Target="../ink/ink52.xml"/><Relationship Id="rId547" Type="http://schemas.openxmlformats.org/officeDocument/2006/relationships/image" Target="../media/image273.png"/><Relationship Id="rId754" Type="http://schemas.openxmlformats.org/officeDocument/2006/relationships/image" Target="../media/image375.png"/><Relationship Id="rId961" Type="http://schemas.openxmlformats.org/officeDocument/2006/relationships/customXml" Target="../ink/ink483.xml"/><Relationship Id="rId90" Type="http://schemas.openxmlformats.org/officeDocument/2006/relationships/customXml" Target="../ink/ink46.xml"/><Relationship Id="rId186" Type="http://schemas.openxmlformats.org/officeDocument/2006/relationships/customXml" Target="../ink/ink94.xml"/><Relationship Id="rId393" Type="http://schemas.openxmlformats.org/officeDocument/2006/relationships/image" Target="../media/image196.png"/><Relationship Id="rId407" Type="http://schemas.openxmlformats.org/officeDocument/2006/relationships/image" Target="../media/image203.png"/><Relationship Id="rId614" Type="http://schemas.openxmlformats.org/officeDocument/2006/relationships/customXml" Target="../ink/ink308.xml"/><Relationship Id="rId821" Type="http://schemas.openxmlformats.org/officeDocument/2006/relationships/customXml" Target="../ink/ink413.xml"/><Relationship Id="rId1037" Type="http://schemas.openxmlformats.org/officeDocument/2006/relationships/customXml" Target="../ink/ink520.xml"/><Relationship Id="rId253" Type="http://schemas.openxmlformats.org/officeDocument/2006/relationships/image" Target="../media/image126.png"/><Relationship Id="rId460" Type="http://schemas.openxmlformats.org/officeDocument/2006/relationships/customXml" Target="../ink/ink231.xml"/><Relationship Id="rId698" Type="http://schemas.openxmlformats.org/officeDocument/2006/relationships/image" Target="../media/image347.png"/><Relationship Id="rId919" Type="http://schemas.openxmlformats.org/officeDocument/2006/relationships/customXml" Target="../ink/ink462.xml"/><Relationship Id="rId1090" Type="http://schemas.openxmlformats.org/officeDocument/2006/relationships/image" Target="../media/image1450.png"/><Relationship Id="rId1104" Type="http://schemas.openxmlformats.org/officeDocument/2006/relationships/image" Target="../media/image1520.png"/><Relationship Id="rId48" Type="http://schemas.openxmlformats.org/officeDocument/2006/relationships/image" Target="../media/image24.png"/><Relationship Id="rId113" Type="http://schemas.openxmlformats.org/officeDocument/2006/relationships/image" Target="../media/image56.png"/><Relationship Id="rId320" Type="http://schemas.openxmlformats.org/officeDocument/2006/relationships/customXml" Target="../ink/ink161.xml"/><Relationship Id="rId558" Type="http://schemas.openxmlformats.org/officeDocument/2006/relationships/customXml" Target="../ink/ink280.xml"/><Relationship Id="rId765" Type="http://schemas.openxmlformats.org/officeDocument/2006/relationships/customXml" Target="../ink/ink385.xml"/><Relationship Id="rId972" Type="http://schemas.openxmlformats.org/officeDocument/2006/relationships/image" Target="../media/image484.png"/><Relationship Id="rId197" Type="http://schemas.openxmlformats.org/officeDocument/2006/relationships/image" Target="../media/image98.png"/><Relationship Id="rId418" Type="http://schemas.openxmlformats.org/officeDocument/2006/relationships/customXml" Target="../ink/ink210.xml"/><Relationship Id="rId625" Type="http://schemas.openxmlformats.org/officeDocument/2006/relationships/image" Target="../media/image312.png"/><Relationship Id="rId832" Type="http://schemas.openxmlformats.org/officeDocument/2006/relationships/image" Target="../media/image414.png"/><Relationship Id="rId1048" Type="http://schemas.openxmlformats.org/officeDocument/2006/relationships/image" Target="../media/image522.png"/><Relationship Id="rId264" Type="http://schemas.openxmlformats.org/officeDocument/2006/relationships/customXml" Target="../ink/ink133.xml"/><Relationship Id="rId471" Type="http://schemas.openxmlformats.org/officeDocument/2006/relationships/image" Target="../media/image235.png"/><Relationship Id="rId59" Type="http://schemas.openxmlformats.org/officeDocument/2006/relationships/customXml" Target="../ink/ink30.xml"/><Relationship Id="rId124" Type="http://schemas.openxmlformats.org/officeDocument/2006/relationships/customXml" Target="../ink/ink63.xml"/><Relationship Id="rId569" Type="http://schemas.openxmlformats.org/officeDocument/2006/relationships/image" Target="../media/image284.png"/><Relationship Id="rId776" Type="http://schemas.openxmlformats.org/officeDocument/2006/relationships/image" Target="../media/image386.png"/><Relationship Id="rId331" Type="http://schemas.openxmlformats.org/officeDocument/2006/relationships/image" Target="../media/image165.png"/><Relationship Id="rId429" Type="http://schemas.openxmlformats.org/officeDocument/2006/relationships/image" Target="../media/image214.png"/><Relationship Id="rId636" Type="http://schemas.openxmlformats.org/officeDocument/2006/relationships/customXml" Target="../ink/ink319.xml"/><Relationship Id="rId1059" Type="http://schemas.openxmlformats.org/officeDocument/2006/relationships/customXml" Target="../ink/ink531.xml"/><Relationship Id="rId843" Type="http://schemas.openxmlformats.org/officeDocument/2006/relationships/customXml" Target="../ink/ink424.xml"/><Relationship Id="rId275" Type="http://schemas.openxmlformats.org/officeDocument/2006/relationships/image" Target="../media/image137.png"/><Relationship Id="rId482" Type="http://schemas.openxmlformats.org/officeDocument/2006/relationships/customXml" Target="../ink/ink242.xml"/><Relationship Id="rId703" Type="http://schemas.openxmlformats.org/officeDocument/2006/relationships/customXml" Target="../ink/ink354.xml"/><Relationship Id="rId910" Type="http://schemas.openxmlformats.org/officeDocument/2006/relationships/image" Target="../media/image453.png"/><Relationship Id="rId135" Type="http://schemas.openxmlformats.org/officeDocument/2006/relationships/image" Target="../media/image67.png"/><Relationship Id="rId342" Type="http://schemas.openxmlformats.org/officeDocument/2006/relationships/customXml" Target="../ink/ink172.xml"/><Relationship Id="rId787" Type="http://schemas.openxmlformats.org/officeDocument/2006/relationships/customXml" Target="../ink/ink396.xml"/><Relationship Id="rId994" Type="http://schemas.openxmlformats.org/officeDocument/2006/relationships/image" Target="../media/image1580.png"/><Relationship Id="rId202" Type="http://schemas.openxmlformats.org/officeDocument/2006/relationships/customXml" Target="../ink/ink102.xml"/><Relationship Id="rId647" Type="http://schemas.openxmlformats.org/officeDocument/2006/relationships/customXml" Target="../ink/ink326.xml"/><Relationship Id="rId854" Type="http://schemas.openxmlformats.org/officeDocument/2006/relationships/image" Target="../media/image425.png"/><Relationship Id="rId286" Type="http://schemas.openxmlformats.org/officeDocument/2006/relationships/customXml" Target="../ink/ink144.xml"/><Relationship Id="rId493" Type="http://schemas.openxmlformats.org/officeDocument/2006/relationships/image" Target="../media/image246.png"/><Relationship Id="rId507" Type="http://schemas.openxmlformats.org/officeDocument/2006/relationships/image" Target="../media/image253.png"/><Relationship Id="rId714" Type="http://schemas.openxmlformats.org/officeDocument/2006/relationships/image" Target="../media/image355.png"/><Relationship Id="rId921" Type="http://schemas.openxmlformats.org/officeDocument/2006/relationships/customXml" Target="../ink/ink463.xml"/><Relationship Id="rId50" Type="http://schemas.openxmlformats.org/officeDocument/2006/relationships/image" Target="../media/image25.png"/><Relationship Id="rId146" Type="http://schemas.openxmlformats.org/officeDocument/2006/relationships/customXml" Target="../ink/ink74.xml"/><Relationship Id="rId353" Type="http://schemas.openxmlformats.org/officeDocument/2006/relationships/image" Target="../media/image176.png"/><Relationship Id="rId560" Type="http://schemas.openxmlformats.org/officeDocument/2006/relationships/customXml" Target="../ink/ink281.xml"/><Relationship Id="rId798" Type="http://schemas.openxmlformats.org/officeDocument/2006/relationships/image" Target="../media/image397.png"/><Relationship Id="rId213" Type="http://schemas.openxmlformats.org/officeDocument/2006/relationships/image" Target="../media/image106.png"/><Relationship Id="rId420" Type="http://schemas.openxmlformats.org/officeDocument/2006/relationships/customXml" Target="../ink/ink211.xml"/><Relationship Id="rId658" Type="http://schemas.openxmlformats.org/officeDocument/2006/relationships/image" Target="../media/image327.png"/><Relationship Id="rId865" Type="http://schemas.openxmlformats.org/officeDocument/2006/relationships/customXml" Target="../ink/ink435.xml"/><Relationship Id="rId1050" Type="http://schemas.openxmlformats.org/officeDocument/2006/relationships/image" Target="../media/image523.png"/><Relationship Id="rId297" Type="http://schemas.openxmlformats.org/officeDocument/2006/relationships/image" Target="../media/image148.png"/><Relationship Id="rId518" Type="http://schemas.openxmlformats.org/officeDocument/2006/relationships/customXml" Target="../ink/ink260.xml"/><Relationship Id="rId725" Type="http://schemas.openxmlformats.org/officeDocument/2006/relationships/customXml" Target="../ink/ink365.xml"/><Relationship Id="rId932" Type="http://schemas.openxmlformats.org/officeDocument/2006/relationships/image" Target="../media/image464.png"/><Relationship Id="rId157" Type="http://schemas.openxmlformats.org/officeDocument/2006/relationships/image" Target="../media/image78.png"/><Relationship Id="rId364" Type="http://schemas.openxmlformats.org/officeDocument/2006/relationships/customXml" Target="../ink/ink183.xml"/><Relationship Id="rId1008" Type="http://schemas.openxmlformats.org/officeDocument/2006/relationships/image" Target="../media/image502.png"/><Relationship Id="rId61" Type="http://schemas.openxmlformats.org/officeDocument/2006/relationships/customXml" Target="../ink/ink31.xml"/><Relationship Id="rId571" Type="http://schemas.openxmlformats.org/officeDocument/2006/relationships/image" Target="../media/image285.png"/><Relationship Id="rId669" Type="http://schemas.openxmlformats.org/officeDocument/2006/relationships/customXml" Target="../ink/ink337.xml"/><Relationship Id="rId876" Type="http://schemas.openxmlformats.org/officeDocument/2006/relationships/image" Target="../media/image436.png"/><Relationship Id="rId19" Type="http://schemas.openxmlformats.org/officeDocument/2006/relationships/customXml" Target="../ink/ink10.xml"/><Relationship Id="rId224" Type="http://schemas.openxmlformats.org/officeDocument/2006/relationships/customXml" Target="../ink/ink113.xml"/><Relationship Id="rId431" Type="http://schemas.openxmlformats.org/officeDocument/2006/relationships/image" Target="../media/image215.png"/><Relationship Id="rId529" Type="http://schemas.openxmlformats.org/officeDocument/2006/relationships/image" Target="../media/image264.png"/><Relationship Id="rId736" Type="http://schemas.openxmlformats.org/officeDocument/2006/relationships/image" Target="../media/image366.png"/><Relationship Id="rId1061" Type="http://schemas.openxmlformats.org/officeDocument/2006/relationships/customXml" Target="../ink/ink532.xml"/><Relationship Id="rId168" Type="http://schemas.openxmlformats.org/officeDocument/2006/relationships/customXml" Target="../ink/ink85.xml"/><Relationship Id="rId943" Type="http://schemas.openxmlformats.org/officeDocument/2006/relationships/customXml" Target="../ink/ink474.xml"/><Relationship Id="rId1019" Type="http://schemas.openxmlformats.org/officeDocument/2006/relationships/customXml" Target="../ink/ink511.xml"/><Relationship Id="rId72" Type="http://schemas.openxmlformats.org/officeDocument/2006/relationships/customXml" Target="../ink/ink37.xml"/><Relationship Id="rId375" Type="http://schemas.openxmlformats.org/officeDocument/2006/relationships/image" Target="../media/image187.png"/><Relationship Id="rId582" Type="http://schemas.openxmlformats.org/officeDocument/2006/relationships/customXml" Target="../ink/ink292.xml"/><Relationship Id="rId803" Type="http://schemas.openxmlformats.org/officeDocument/2006/relationships/customXml" Target="../ink/ink404.xml"/><Relationship Id="rId3" Type="http://schemas.openxmlformats.org/officeDocument/2006/relationships/customXml" Target="../ink/ink2.xml"/><Relationship Id="rId235" Type="http://schemas.openxmlformats.org/officeDocument/2006/relationships/image" Target="../media/image117.png"/><Relationship Id="rId442" Type="http://schemas.openxmlformats.org/officeDocument/2006/relationships/customXml" Target="../ink/ink222.xml"/><Relationship Id="rId887" Type="http://schemas.openxmlformats.org/officeDocument/2006/relationships/customXml" Target="../ink/ink446.xml"/><Relationship Id="rId1072" Type="http://schemas.openxmlformats.org/officeDocument/2006/relationships/image" Target="../media/image534.png"/><Relationship Id="rId302" Type="http://schemas.openxmlformats.org/officeDocument/2006/relationships/customXml" Target="../ink/ink152.xml"/><Relationship Id="rId747" Type="http://schemas.openxmlformats.org/officeDocument/2006/relationships/customXml" Target="../ink/ink376.xml"/><Relationship Id="rId954" Type="http://schemas.openxmlformats.org/officeDocument/2006/relationships/image" Target="../media/image475.png"/><Relationship Id="rId83" Type="http://schemas.openxmlformats.org/officeDocument/2006/relationships/image" Target="../media/image41.png"/><Relationship Id="rId179" Type="http://schemas.openxmlformats.org/officeDocument/2006/relationships/image" Target="../media/image89.png"/><Relationship Id="rId386" Type="http://schemas.openxmlformats.org/officeDocument/2006/relationships/customXml" Target="../ink/ink194.xml"/><Relationship Id="rId593" Type="http://schemas.openxmlformats.org/officeDocument/2006/relationships/image" Target="../media/image296.png"/><Relationship Id="rId607" Type="http://schemas.openxmlformats.org/officeDocument/2006/relationships/image" Target="../media/image303.png"/><Relationship Id="rId814" Type="http://schemas.openxmlformats.org/officeDocument/2006/relationships/image" Target="../media/image405.png"/><Relationship Id="rId246" Type="http://schemas.openxmlformats.org/officeDocument/2006/relationships/customXml" Target="../ink/ink124.xml"/><Relationship Id="rId453" Type="http://schemas.openxmlformats.org/officeDocument/2006/relationships/image" Target="../media/image226.png"/><Relationship Id="rId660" Type="http://schemas.openxmlformats.org/officeDocument/2006/relationships/image" Target="../media/image328.png"/><Relationship Id="rId898" Type="http://schemas.openxmlformats.org/officeDocument/2006/relationships/image" Target="../media/image447.png"/><Relationship Id="rId1083" Type="http://schemas.openxmlformats.org/officeDocument/2006/relationships/customXml" Target="../ink/ink543.xml"/><Relationship Id="rId106" Type="http://schemas.openxmlformats.org/officeDocument/2006/relationships/customXml" Target="../ink/ink54.xml"/><Relationship Id="rId313" Type="http://schemas.openxmlformats.org/officeDocument/2006/relationships/image" Target="../media/image156.png"/><Relationship Id="rId758" Type="http://schemas.openxmlformats.org/officeDocument/2006/relationships/image" Target="../media/image377.png"/><Relationship Id="rId965" Type="http://schemas.openxmlformats.org/officeDocument/2006/relationships/customXml" Target="../ink/ink485.xml"/><Relationship Id="rId10" Type="http://schemas.openxmlformats.org/officeDocument/2006/relationships/image" Target="../media/image5.png"/><Relationship Id="rId94" Type="http://schemas.openxmlformats.org/officeDocument/2006/relationships/customXml" Target="../ink/ink48.xml"/><Relationship Id="rId397" Type="http://schemas.openxmlformats.org/officeDocument/2006/relationships/image" Target="../media/image198.png"/><Relationship Id="rId520" Type="http://schemas.openxmlformats.org/officeDocument/2006/relationships/customXml" Target="../ink/ink261.xml"/><Relationship Id="rId618" Type="http://schemas.openxmlformats.org/officeDocument/2006/relationships/customXml" Target="../ink/ink310.xml"/><Relationship Id="rId825" Type="http://schemas.openxmlformats.org/officeDocument/2006/relationships/customXml" Target="../ink/ink415.xml"/><Relationship Id="rId257" Type="http://schemas.openxmlformats.org/officeDocument/2006/relationships/image" Target="../media/image128.png"/><Relationship Id="rId464" Type="http://schemas.openxmlformats.org/officeDocument/2006/relationships/customXml" Target="../ink/ink233.xml"/><Relationship Id="rId1010" Type="http://schemas.openxmlformats.org/officeDocument/2006/relationships/image" Target="../media/image503.png"/><Relationship Id="rId1094" Type="http://schemas.openxmlformats.org/officeDocument/2006/relationships/image" Target="../media/image1470.png"/><Relationship Id="rId1108" Type="http://schemas.openxmlformats.org/officeDocument/2006/relationships/image" Target="../media/image1540.png"/><Relationship Id="rId117" Type="http://schemas.openxmlformats.org/officeDocument/2006/relationships/image" Target="../media/image58.png"/><Relationship Id="rId671" Type="http://schemas.openxmlformats.org/officeDocument/2006/relationships/customXml" Target="../ink/ink338.xml"/><Relationship Id="rId769" Type="http://schemas.openxmlformats.org/officeDocument/2006/relationships/customXml" Target="../ink/ink387.xml"/><Relationship Id="rId976" Type="http://schemas.openxmlformats.org/officeDocument/2006/relationships/image" Target="../media/image486.png"/><Relationship Id="rId324" Type="http://schemas.openxmlformats.org/officeDocument/2006/relationships/customXml" Target="../ink/ink163.xml"/><Relationship Id="rId531" Type="http://schemas.openxmlformats.org/officeDocument/2006/relationships/image" Target="../media/image265.png"/><Relationship Id="rId629" Type="http://schemas.openxmlformats.org/officeDocument/2006/relationships/image" Target="../media/image314.png"/><Relationship Id="rId836" Type="http://schemas.openxmlformats.org/officeDocument/2006/relationships/image" Target="../media/image416.png"/><Relationship Id="rId1021" Type="http://schemas.openxmlformats.org/officeDocument/2006/relationships/customXml" Target="../ink/ink512.xml"/><Relationship Id="rId903" Type="http://schemas.openxmlformats.org/officeDocument/2006/relationships/customXml" Target="../ink/ink454.xml"/><Relationship Id="rId32" Type="http://schemas.openxmlformats.org/officeDocument/2006/relationships/image" Target="../media/image16.png"/><Relationship Id="rId181" Type="http://schemas.openxmlformats.org/officeDocument/2006/relationships/image" Target="../media/image90.png"/><Relationship Id="rId279" Type="http://schemas.openxmlformats.org/officeDocument/2006/relationships/image" Target="../media/image139.png"/><Relationship Id="rId486" Type="http://schemas.openxmlformats.org/officeDocument/2006/relationships/customXml" Target="../ink/ink244.xml"/><Relationship Id="rId693" Type="http://schemas.openxmlformats.org/officeDocument/2006/relationships/customXml" Target="../ink/ink349.xml"/><Relationship Id="rId139" Type="http://schemas.openxmlformats.org/officeDocument/2006/relationships/image" Target="../media/image69.png"/><Relationship Id="rId346" Type="http://schemas.openxmlformats.org/officeDocument/2006/relationships/customXml" Target="../ink/ink174.xml"/><Relationship Id="rId553" Type="http://schemas.openxmlformats.org/officeDocument/2006/relationships/image" Target="../media/image276.png"/><Relationship Id="rId760" Type="http://schemas.openxmlformats.org/officeDocument/2006/relationships/image" Target="../media/image378.png"/><Relationship Id="rId998" Type="http://schemas.openxmlformats.org/officeDocument/2006/relationships/image" Target="../media/image497.png"/><Relationship Id="rId206" Type="http://schemas.openxmlformats.org/officeDocument/2006/relationships/customXml" Target="../ink/ink104.xml"/><Relationship Id="rId413" Type="http://schemas.openxmlformats.org/officeDocument/2006/relationships/image" Target="../media/image206.png"/><Relationship Id="rId858" Type="http://schemas.openxmlformats.org/officeDocument/2006/relationships/image" Target="../media/image427.png"/><Relationship Id="rId1043" Type="http://schemas.openxmlformats.org/officeDocument/2006/relationships/customXml" Target="../ink/ink523.xml"/><Relationship Id="rId620" Type="http://schemas.openxmlformats.org/officeDocument/2006/relationships/customXml" Target="../ink/ink311.xml"/><Relationship Id="rId718" Type="http://schemas.openxmlformats.org/officeDocument/2006/relationships/image" Target="../media/image357.png"/><Relationship Id="rId925" Type="http://schemas.openxmlformats.org/officeDocument/2006/relationships/customXml" Target="../ink/ink465.xml"/><Relationship Id="rId1110" Type="http://schemas.openxmlformats.org/officeDocument/2006/relationships/image" Target="../media/image1550.png"/><Relationship Id="rId54" Type="http://schemas.openxmlformats.org/officeDocument/2006/relationships/image" Target="../media/image27.png"/><Relationship Id="rId270" Type="http://schemas.openxmlformats.org/officeDocument/2006/relationships/customXml" Target="../ink/ink136.xml"/><Relationship Id="rId130" Type="http://schemas.openxmlformats.org/officeDocument/2006/relationships/customXml" Target="../ink/ink66.xml"/><Relationship Id="rId368" Type="http://schemas.openxmlformats.org/officeDocument/2006/relationships/customXml" Target="../ink/ink185.xml"/><Relationship Id="rId575" Type="http://schemas.openxmlformats.org/officeDocument/2006/relationships/image" Target="../media/image287.png"/><Relationship Id="rId782" Type="http://schemas.openxmlformats.org/officeDocument/2006/relationships/image" Target="../media/image389.png"/><Relationship Id="rId228" Type="http://schemas.openxmlformats.org/officeDocument/2006/relationships/customXml" Target="../ink/ink115.xml"/><Relationship Id="rId435" Type="http://schemas.openxmlformats.org/officeDocument/2006/relationships/image" Target="../media/image217.png"/><Relationship Id="rId642" Type="http://schemas.openxmlformats.org/officeDocument/2006/relationships/image" Target="../media/image319.png"/><Relationship Id="rId1065" Type="http://schemas.openxmlformats.org/officeDocument/2006/relationships/customXml" Target="../ink/ink534.xml"/><Relationship Id="rId502" Type="http://schemas.openxmlformats.org/officeDocument/2006/relationships/customXml" Target="../ink/ink252.xml"/><Relationship Id="rId947" Type="http://schemas.openxmlformats.org/officeDocument/2006/relationships/customXml" Target="../ink/ink476.xml"/><Relationship Id="rId76" Type="http://schemas.openxmlformats.org/officeDocument/2006/relationships/customXml" Target="../ink/ink39.xml"/><Relationship Id="rId807" Type="http://schemas.openxmlformats.org/officeDocument/2006/relationships/customXml" Target="../ink/ink406.xml"/><Relationship Id="rId292" Type="http://schemas.openxmlformats.org/officeDocument/2006/relationships/customXml" Target="../ink/ink147.xml"/><Relationship Id="rId597" Type="http://schemas.openxmlformats.org/officeDocument/2006/relationships/image" Target="../media/image298.png"/><Relationship Id="rId152" Type="http://schemas.openxmlformats.org/officeDocument/2006/relationships/customXml" Target="../ink/ink77.xml"/><Relationship Id="rId457" Type="http://schemas.openxmlformats.org/officeDocument/2006/relationships/image" Target="../media/image228.png"/><Relationship Id="rId1087" Type="http://schemas.openxmlformats.org/officeDocument/2006/relationships/customXml" Target="../ink/ink54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15848</xdr:colOff>
      <xdr:row>6</xdr:row>
      <xdr:rowOff>0</xdr:rowOff>
    </xdr:from>
    <xdr:to>
      <xdr:col>12</xdr:col>
      <xdr:colOff>16208</xdr:colOff>
      <xdr:row>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7B72710-71F8-88EA-E611-E24AA3C08200}"/>
                </a:ext>
              </a:extLst>
            </xdr14:cNvPr>
            <xdr14:cNvContentPartPr/>
          </xdr14:nvContentPartPr>
          <xdr14:nvPr macro=""/>
          <xdr14:xfrm>
            <a:off x="8157600" y="12819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7B72710-71F8-88EA-E611-E24AA3C082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51480" y="1275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488560</xdr:colOff>
      <xdr:row>23</xdr:row>
      <xdr:rowOff>153534</xdr:rowOff>
    </xdr:from>
    <xdr:to>
      <xdr:col>9</xdr:col>
      <xdr:colOff>35826</xdr:colOff>
      <xdr:row>25</xdr:row>
      <xdr:rowOff>85102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8F7D242-88D9-4700-4A25-9C093D95F8C8}"/>
                </a:ext>
                <a:ext uri="{147F2762-F138-4A5C-976F-8EAC2B608ADB}">
                  <a16:predDERef xmlns:a16="http://schemas.microsoft.com/office/drawing/2014/main" pred="{F7B72710-71F8-88EA-E611-E24AA3C08200}"/>
                </a:ext>
              </a:extLst>
            </xdr14:cNvPr>
            <xdr14:cNvContentPartPr/>
          </xdr14:nvContentPartPr>
          <xdr14:nvPr macro=""/>
          <xdr14:xfrm>
            <a:off x="6224044" y="5069663"/>
            <a:ext cx="243717" cy="341245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68F7D242-88D9-4700-4A25-9C093D95F8C8}"/>
                </a:ext>
                <a:ext uri="{147F2762-F138-4A5C-976F-8EAC2B608ADB}">
                  <a16:predDERef xmlns:a16="http://schemas.microsoft.com/office/drawing/2014/main" pred="{F7B72710-71F8-88EA-E611-E24AA3C082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874120" y="2423880"/>
              <a:ext cx="215640" cy="33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161106</xdr:colOff>
      <xdr:row>23</xdr:row>
      <xdr:rowOff>121134</xdr:rowOff>
    </xdr:from>
    <xdr:to>
      <xdr:col>9</xdr:col>
      <xdr:colOff>302946</xdr:colOff>
      <xdr:row>25</xdr:row>
      <xdr:rowOff>97342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81CA660-5271-311E-1142-BFD397DC18E4}"/>
                </a:ext>
                <a:ext uri="{147F2762-F138-4A5C-976F-8EAC2B608ADB}">
                  <a16:predDERef xmlns:a16="http://schemas.microsoft.com/office/drawing/2014/main" pred="{68F7D242-88D9-4700-4A25-9C093D95F8C8}"/>
                </a:ext>
              </a:extLst>
            </xdr14:cNvPr>
            <xdr14:cNvContentPartPr/>
          </xdr14:nvContentPartPr>
          <xdr14:nvPr macro=""/>
          <xdr14:xfrm>
            <a:off x="6593041" y="5037263"/>
            <a:ext cx="141840" cy="385885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81CA660-5271-311E-1142-BFD397DC18E4}"/>
                </a:ext>
                <a:ext uri="{147F2762-F138-4A5C-976F-8EAC2B608ADB}">
                  <a16:predDERef xmlns:a16="http://schemas.microsoft.com/office/drawing/2014/main" pred="{68F7D242-88D9-4700-4A25-9C093D95F8C8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193440" y="2391840"/>
              <a:ext cx="16308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306546</xdr:colOff>
      <xdr:row>24</xdr:row>
      <xdr:rowOff>161437</xdr:rowOff>
    </xdr:from>
    <xdr:to>
      <xdr:col>9</xdr:col>
      <xdr:colOff>399786</xdr:colOff>
      <xdr:row>25</xdr:row>
      <xdr:rowOff>133342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75C7932-13DD-2755-D26E-74B9105189BC}"/>
                </a:ext>
                <a:ext uri="{147F2762-F138-4A5C-976F-8EAC2B608ADB}">
                  <a16:predDERef xmlns:a16="http://schemas.microsoft.com/office/drawing/2014/main" pred="{981CA660-5271-311E-1142-BFD397DC18E4}"/>
                </a:ext>
              </a:extLst>
            </xdr14:cNvPr>
            <xdr14:cNvContentPartPr/>
          </xdr14:nvContentPartPr>
          <xdr14:nvPr macro=""/>
          <xdr14:xfrm>
            <a:off x="6738481" y="5282405"/>
            <a:ext cx="93240" cy="17674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75C7932-13DD-2755-D26E-74B9105189BC}"/>
                </a:ext>
                <a:ext uri="{147F2762-F138-4A5C-976F-8EAC2B608ADB}">
                  <a16:predDERef xmlns:a16="http://schemas.microsoft.com/office/drawing/2014/main" pred="{981CA660-5271-311E-1142-BFD397DC18E4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339240" y="2622240"/>
              <a:ext cx="11448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585906</xdr:colOff>
      <xdr:row>24</xdr:row>
      <xdr:rowOff>23917</xdr:rowOff>
    </xdr:from>
    <xdr:to>
      <xdr:col>9</xdr:col>
      <xdr:colOff>711546</xdr:colOff>
      <xdr:row>24</xdr:row>
      <xdr:rowOff>44437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174A5CE-725C-4FF7-EC67-D2E075B16967}"/>
                </a:ext>
                <a:ext uri="{147F2762-F138-4A5C-976F-8EAC2B608ADB}">
                  <a16:predDERef xmlns:a16="http://schemas.microsoft.com/office/drawing/2014/main" pred="{575C7932-13DD-2755-D26E-74B9105189BC}"/>
                </a:ext>
              </a:extLst>
            </xdr14:cNvPr>
            <xdr14:cNvContentPartPr/>
          </xdr14:nvContentPartPr>
          <xdr14:nvPr macro=""/>
          <xdr14:xfrm>
            <a:off x="7017841" y="5144885"/>
            <a:ext cx="125640" cy="205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174A5CE-725C-4FF7-EC67-D2E075B16967}"/>
                </a:ext>
                <a:ext uri="{147F2762-F138-4A5C-976F-8EAC2B608ADB}">
                  <a16:predDERef xmlns:a16="http://schemas.microsoft.com/office/drawing/2014/main" pred="{575C7932-13DD-2755-D26E-74B9105189BC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618240" y="2484720"/>
              <a:ext cx="14688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610026</xdr:colOff>
      <xdr:row>24</xdr:row>
      <xdr:rowOff>100957</xdr:rowOff>
    </xdr:from>
    <xdr:to>
      <xdr:col>9</xdr:col>
      <xdr:colOff>695346</xdr:colOff>
      <xdr:row>24</xdr:row>
      <xdr:rowOff>133717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CBAD1A5-3D44-CD16-0582-6B634D5EDEB2}"/>
                </a:ext>
                <a:ext uri="{147F2762-F138-4A5C-976F-8EAC2B608ADB}">
                  <a16:predDERef xmlns:a16="http://schemas.microsoft.com/office/drawing/2014/main" pred="{9174A5CE-725C-4FF7-EC67-D2E075B16967}"/>
                </a:ext>
              </a:extLst>
            </xdr14:cNvPr>
            <xdr14:cNvContentPartPr/>
          </xdr14:nvContentPartPr>
          <xdr14:nvPr macro=""/>
          <xdr14:xfrm>
            <a:off x="7041961" y="5221925"/>
            <a:ext cx="85320" cy="327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CBAD1A5-3D44-CD16-0582-6B634D5EDEB2}"/>
                </a:ext>
                <a:ext uri="{147F2762-F138-4A5C-976F-8EAC2B608ADB}">
                  <a16:predDERef xmlns:a16="http://schemas.microsoft.com/office/drawing/2014/main" pred="{9174A5CE-725C-4FF7-EC67-D2E075B1696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642720" y="2561400"/>
              <a:ext cx="10656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100482</xdr:colOff>
      <xdr:row>22</xdr:row>
      <xdr:rowOff>32229</xdr:rowOff>
    </xdr:from>
    <xdr:to>
      <xdr:col>13</xdr:col>
      <xdr:colOff>9839</xdr:colOff>
      <xdr:row>26</xdr:row>
      <xdr:rowOff>149887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E73B8F0-8748-4E0A-E0D2-8B0424340651}"/>
                </a:ext>
                <a:ext uri="{147F2762-F138-4A5C-976F-8EAC2B608ADB}">
                  <a16:predDERef xmlns:a16="http://schemas.microsoft.com/office/drawing/2014/main" pred="{7CBAD1A5-3D44-CD16-0582-6B634D5EDEB2}"/>
                </a:ext>
              </a:extLst>
            </xdr14:cNvPr>
            <xdr14:cNvContentPartPr/>
          </xdr14:nvContentPartPr>
          <xdr14:nvPr macro=""/>
          <xdr14:xfrm>
            <a:off x="7474676" y="4743519"/>
            <a:ext cx="2080647" cy="937013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E73B8F0-8748-4E0A-E0D2-8B0424340651}"/>
                </a:ext>
                <a:ext uri="{147F2762-F138-4A5C-976F-8EAC2B608ADB}">
                  <a16:predDERef xmlns:a16="http://schemas.microsoft.com/office/drawing/2014/main" pred="{7CBAD1A5-3D44-CD16-0582-6B634D5EDEB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6966000" y="2112480"/>
              <a:ext cx="1938600" cy="89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424122</xdr:colOff>
      <xdr:row>23</xdr:row>
      <xdr:rowOff>12054</xdr:rowOff>
    </xdr:from>
    <xdr:to>
      <xdr:col>11</xdr:col>
      <xdr:colOff>7561</xdr:colOff>
      <xdr:row>24</xdr:row>
      <xdr:rowOff>77197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53D99458-866B-FABB-08BF-E601953A50D9}"/>
                </a:ext>
                <a:ext uri="{147F2762-F138-4A5C-976F-8EAC2B608ADB}">
                  <a16:predDERef xmlns:a16="http://schemas.microsoft.com/office/drawing/2014/main" pred="{DE73B8F0-8748-4E0A-E0D2-8B0424340651}"/>
                </a:ext>
              </a:extLst>
            </xdr14:cNvPr>
            <xdr14:cNvContentPartPr/>
          </xdr14:nvContentPartPr>
          <xdr14:nvPr macro=""/>
          <xdr14:xfrm>
            <a:off x="7798316" y="4928183"/>
            <a:ext cx="279890" cy="269982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53D99458-866B-FABB-08BF-E601953A50D9}"/>
                </a:ext>
                <a:ext uri="{147F2762-F138-4A5C-976F-8EAC2B608ADB}">
                  <a16:predDERef xmlns:a16="http://schemas.microsoft.com/office/drawing/2014/main" pred="{DE73B8F0-8748-4E0A-E0D2-8B0424340651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7289640" y="2282400"/>
              <a:ext cx="260280" cy="27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104588</xdr:colOff>
      <xdr:row>23</xdr:row>
      <xdr:rowOff>12054</xdr:rowOff>
    </xdr:from>
    <xdr:to>
      <xdr:col>11</xdr:col>
      <xdr:colOff>222308</xdr:colOff>
      <xdr:row>24</xdr:row>
      <xdr:rowOff>40837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0EEB8FC-3F2A-3321-362B-B0A21C4E50E3}"/>
                </a:ext>
                <a:ext uri="{147F2762-F138-4A5C-976F-8EAC2B608ADB}">
                  <a16:predDERef xmlns:a16="http://schemas.microsoft.com/office/drawing/2014/main" pred="{53D99458-866B-FABB-08BF-E601953A50D9}"/>
                </a:ext>
              </a:extLst>
            </xdr14:cNvPr>
            <xdr14:cNvContentPartPr/>
          </xdr14:nvContentPartPr>
          <xdr14:nvPr macro=""/>
          <xdr14:xfrm>
            <a:off x="8175233" y="4928183"/>
            <a:ext cx="117720" cy="233622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0EEB8FC-3F2A-3321-362B-B0A21C4E50E3}"/>
                </a:ext>
                <a:ext uri="{147F2762-F138-4A5C-976F-8EAC2B608ADB}">
                  <a16:predDERef xmlns:a16="http://schemas.microsoft.com/office/drawing/2014/main" pred="{53D99458-866B-FABB-08BF-E601953A50D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617240" y="2282400"/>
              <a:ext cx="13896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225908</xdr:colOff>
      <xdr:row>23</xdr:row>
      <xdr:rowOff>113214</xdr:rowOff>
    </xdr:from>
    <xdr:to>
      <xdr:col>11</xdr:col>
      <xdr:colOff>335348</xdr:colOff>
      <xdr:row>24</xdr:row>
      <xdr:rowOff>81157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3F2B3351-9A6D-DD7A-3B49-019453DE8675}"/>
                </a:ext>
                <a:ext uri="{147F2762-F138-4A5C-976F-8EAC2B608ADB}">
                  <a16:predDERef xmlns:a16="http://schemas.microsoft.com/office/drawing/2014/main" pred="{00EEB8FC-3F2A-3321-362B-B0A21C4E50E3}"/>
                </a:ext>
              </a:extLst>
            </xdr14:cNvPr>
            <xdr14:cNvContentPartPr/>
          </xdr14:nvContentPartPr>
          <xdr14:nvPr macro=""/>
          <xdr14:xfrm>
            <a:off x="8296553" y="5029343"/>
            <a:ext cx="109440" cy="172782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3F2B3351-9A6D-DD7A-3B49-019453DE8675}"/>
                </a:ext>
                <a:ext uri="{147F2762-F138-4A5C-976F-8EAC2B608ADB}">
                  <a16:predDERef xmlns:a16="http://schemas.microsoft.com/office/drawing/2014/main" pred="{00EEB8FC-3F2A-3321-362B-B0A21C4E50E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738560" y="2383560"/>
              <a:ext cx="13068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379482</xdr:colOff>
      <xdr:row>24</xdr:row>
      <xdr:rowOff>157477</xdr:rowOff>
    </xdr:from>
    <xdr:to>
      <xdr:col>11</xdr:col>
      <xdr:colOff>326881</xdr:colOff>
      <xdr:row>25</xdr:row>
      <xdr:rowOff>8062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F01D7294-B3A3-601B-5E6B-8FDD10CCB689}"/>
                </a:ext>
                <a:ext uri="{147F2762-F138-4A5C-976F-8EAC2B608ADB}">
                  <a16:predDERef xmlns:a16="http://schemas.microsoft.com/office/drawing/2014/main" pred="{3F2B3351-9A6D-DD7A-3B49-019453DE8675}"/>
                </a:ext>
              </a:extLst>
            </xdr14:cNvPr>
            <xdr14:cNvContentPartPr/>
          </xdr14:nvContentPartPr>
          <xdr14:nvPr macro=""/>
          <xdr14:xfrm>
            <a:off x="7753676" y="5278445"/>
            <a:ext cx="643850" cy="55423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F01D7294-B3A3-601B-5E6B-8FDD10CCB689}"/>
                </a:ext>
                <a:ext uri="{147F2762-F138-4A5C-976F-8EAC2B608ADB}">
                  <a16:predDERef xmlns:a16="http://schemas.microsoft.com/office/drawing/2014/main" pred="{3F2B3351-9A6D-DD7A-3B49-019453DE867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7245360" y="2618280"/>
              <a:ext cx="62424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533202</xdr:colOff>
      <xdr:row>25</xdr:row>
      <xdr:rowOff>113182</xdr:rowOff>
    </xdr:from>
    <xdr:to>
      <xdr:col>11</xdr:col>
      <xdr:colOff>35281</xdr:colOff>
      <xdr:row>27</xdr:row>
      <xdr:rowOff>6590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1563B581-09A6-6B25-CEAE-DACE04DCD74C}"/>
                </a:ext>
                <a:ext uri="{147F2762-F138-4A5C-976F-8EAC2B608ADB}">
                  <a16:predDERef xmlns:a16="http://schemas.microsoft.com/office/drawing/2014/main" pred="{F01D7294-B3A3-601B-5E6B-8FDD10CCB689}"/>
                </a:ext>
              </a:extLst>
            </xdr14:cNvPr>
            <xdr14:cNvContentPartPr/>
          </xdr14:nvContentPartPr>
          <xdr14:nvPr macro=""/>
          <xdr14:xfrm>
            <a:off x="7907396" y="5438988"/>
            <a:ext cx="198530" cy="303086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1563B581-09A6-6B25-CEAE-DACE04DCD74C}"/>
                </a:ext>
                <a:ext uri="{147F2762-F138-4A5C-976F-8EAC2B608ADB}">
                  <a16:predDERef xmlns:a16="http://schemas.microsoft.com/office/drawing/2014/main" pred="{F01D7294-B3A3-601B-5E6B-8FDD10CCB689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7398720" y="2763720"/>
              <a:ext cx="178920" cy="29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3428</xdr:colOff>
      <xdr:row>26</xdr:row>
      <xdr:rowOff>8047</xdr:rowOff>
    </xdr:from>
    <xdr:to>
      <xdr:col>11</xdr:col>
      <xdr:colOff>145268</xdr:colOff>
      <xdr:row>26</xdr:row>
      <xdr:rowOff>173647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2074A4E-74C5-54DB-5DAE-8BCA9DA1E75D}"/>
                </a:ext>
                <a:ext uri="{147F2762-F138-4A5C-976F-8EAC2B608ADB}">
                  <a16:predDERef xmlns:a16="http://schemas.microsoft.com/office/drawing/2014/main" pred="{1563B581-09A6-6B25-CEAE-DACE04DCD74C}"/>
                </a:ext>
              </a:extLst>
            </xdr14:cNvPr>
            <xdr14:cNvContentPartPr/>
          </xdr14:nvContentPartPr>
          <xdr14:nvPr macro=""/>
          <xdr14:xfrm>
            <a:off x="8074073" y="5538692"/>
            <a:ext cx="141840" cy="1656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2074A4E-74C5-54DB-5DAE-8BCA9DA1E75D}"/>
                </a:ext>
                <a:ext uri="{147F2762-F138-4A5C-976F-8EAC2B608ADB}">
                  <a16:predDERef xmlns:a16="http://schemas.microsoft.com/office/drawing/2014/main" pred="{1563B581-09A6-6B25-CEAE-DACE04DCD74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516080" y="2848680"/>
              <a:ext cx="16308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306762</xdr:colOff>
      <xdr:row>22</xdr:row>
      <xdr:rowOff>141309</xdr:rowOff>
    </xdr:from>
    <xdr:to>
      <xdr:col>10</xdr:col>
      <xdr:colOff>484962</xdr:colOff>
      <xdr:row>26</xdr:row>
      <xdr:rowOff>101287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59CC810-EAB8-B7F6-B4FC-5C8DA1BA18A9}"/>
                </a:ext>
                <a:ext uri="{147F2762-F138-4A5C-976F-8EAC2B608ADB}">
                  <a16:predDERef xmlns:a16="http://schemas.microsoft.com/office/drawing/2014/main" pred="{A2074A4E-74C5-54DB-5DAE-8BCA9DA1E75D}"/>
                </a:ext>
              </a:extLst>
            </xdr14:cNvPr>
            <xdr14:cNvContentPartPr/>
          </xdr14:nvContentPartPr>
          <xdr14:nvPr macro=""/>
          <xdr14:xfrm>
            <a:off x="7680956" y="4852599"/>
            <a:ext cx="178200" cy="779333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59CC810-EAB8-B7F6-B4FC-5C8DA1BA18A9}"/>
                </a:ext>
                <a:ext uri="{147F2762-F138-4A5C-976F-8EAC2B608ADB}">
                  <a16:predDERef xmlns:a16="http://schemas.microsoft.com/office/drawing/2014/main" pred="{A2074A4E-74C5-54DB-5DAE-8BCA9DA1E75D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172280" y="2221920"/>
              <a:ext cx="199440" cy="74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347228</xdr:colOff>
      <xdr:row>23</xdr:row>
      <xdr:rowOff>76494</xdr:rowOff>
    </xdr:from>
    <xdr:to>
      <xdr:col>11</xdr:col>
      <xdr:colOff>529748</xdr:colOff>
      <xdr:row>26</xdr:row>
      <xdr:rowOff>165727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8BD1E3A-B218-A5C4-0A14-D74EB9651194}"/>
                </a:ext>
                <a:ext uri="{147F2762-F138-4A5C-976F-8EAC2B608ADB}">
                  <a16:predDERef xmlns:a16="http://schemas.microsoft.com/office/drawing/2014/main" pred="{759CC810-EAB8-B7F6-B4FC-5C8DA1BA18A9}"/>
                </a:ext>
              </a:extLst>
            </xdr14:cNvPr>
            <xdr14:cNvContentPartPr/>
          </xdr14:nvContentPartPr>
          <xdr14:nvPr macro=""/>
          <xdr14:xfrm>
            <a:off x="8417873" y="4992623"/>
            <a:ext cx="182520" cy="703749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8BD1E3A-B218-A5C4-0A14-D74EB9651194}"/>
                </a:ext>
                <a:ext uri="{147F2762-F138-4A5C-976F-8EAC2B608ADB}">
                  <a16:predDERef xmlns:a16="http://schemas.microsoft.com/office/drawing/2014/main" pred="{759CC810-EAB8-B7F6-B4FC-5C8DA1BA18A9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859880" y="2347200"/>
              <a:ext cx="203760" cy="68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597788</xdr:colOff>
      <xdr:row>22</xdr:row>
      <xdr:rowOff>181989</xdr:rowOff>
    </xdr:from>
    <xdr:to>
      <xdr:col>12</xdr:col>
      <xdr:colOff>35346</xdr:colOff>
      <xdr:row>23</xdr:row>
      <xdr:rowOff>129774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B543DDF7-9846-0587-CD61-45196874029C}"/>
                </a:ext>
                <a:ext uri="{147F2762-F138-4A5C-976F-8EAC2B608ADB}">
                  <a16:predDERef xmlns:a16="http://schemas.microsoft.com/office/drawing/2014/main" pred="{28BD1E3A-B218-A5C4-0A14-D74EB9651194}"/>
                </a:ext>
              </a:extLst>
            </xdr14:cNvPr>
            <xdr14:cNvContentPartPr/>
          </xdr14:nvContentPartPr>
          <xdr14:nvPr macro=""/>
          <xdr14:xfrm>
            <a:off x="8668433" y="4893279"/>
            <a:ext cx="174978" cy="152624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B543DDF7-9846-0587-CD61-45196874029C}"/>
                </a:ext>
                <a:ext uri="{147F2762-F138-4A5C-976F-8EAC2B608ADB}">
                  <a16:predDERef xmlns:a16="http://schemas.microsoft.com/office/drawing/2014/main" pred="{28BD1E3A-B218-A5C4-0A14-D74EB9651194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110800" y="2262240"/>
              <a:ext cx="1350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35720</xdr:colOff>
      <xdr:row>24</xdr:row>
      <xdr:rowOff>173677</xdr:rowOff>
    </xdr:from>
    <xdr:to>
      <xdr:col>12</xdr:col>
      <xdr:colOff>144080</xdr:colOff>
      <xdr:row>25</xdr:row>
      <xdr:rowOff>20302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6CA2B43-5BE2-6147-CD5E-16DD45A38F87}"/>
                </a:ext>
                <a:ext uri="{147F2762-F138-4A5C-976F-8EAC2B608ADB}">
                  <a16:predDERef xmlns:a16="http://schemas.microsoft.com/office/drawing/2014/main" pred="{B543DDF7-9846-0587-CD61-45196874029C}"/>
                </a:ext>
              </a:extLst>
            </xdr14:cNvPr>
            <xdr14:cNvContentPartPr/>
          </xdr14:nvContentPartPr>
          <xdr14:nvPr macro=""/>
          <xdr14:xfrm>
            <a:off x="8843785" y="5294645"/>
            <a:ext cx="108360" cy="51463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6CA2B43-5BE2-6147-CD5E-16DD45A38F87}"/>
                </a:ext>
                <a:ext uri="{147F2762-F138-4A5C-976F-8EAC2B608ADB}">
                  <a16:predDERef xmlns:a16="http://schemas.microsoft.com/office/drawing/2014/main" pred="{B543DDF7-9846-0587-CD61-45196874029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207640" y="2634480"/>
              <a:ext cx="12960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100520</xdr:colOff>
      <xdr:row>24</xdr:row>
      <xdr:rowOff>117157</xdr:rowOff>
    </xdr:from>
    <xdr:to>
      <xdr:col>12</xdr:col>
      <xdr:colOff>121040</xdr:colOff>
      <xdr:row>25</xdr:row>
      <xdr:rowOff>67462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31020AD3-EE37-276C-5916-94F4D1141806}"/>
                </a:ext>
                <a:ext uri="{147F2762-F138-4A5C-976F-8EAC2B608ADB}">
                  <a16:predDERef xmlns:a16="http://schemas.microsoft.com/office/drawing/2014/main" pred="{76CA2B43-5BE2-6147-CD5E-16DD45A38F87}"/>
                </a:ext>
              </a:extLst>
            </xdr14:cNvPr>
            <xdr14:cNvContentPartPr/>
          </xdr14:nvContentPartPr>
          <xdr14:nvPr macro=""/>
          <xdr14:xfrm>
            <a:off x="8908585" y="5238125"/>
            <a:ext cx="20520" cy="155143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31020AD3-EE37-276C-5916-94F4D1141806}"/>
                </a:ext>
                <a:ext uri="{147F2762-F138-4A5C-976F-8EAC2B608ADB}">
                  <a16:predDERef xmlns:a16="http://schemas.microsoft.com/office/drawing/2014/main" pred="{76CA2B43-5BE2-6147-CD5E-16DD45A38F87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272440" y="2577600"/>
              <a:ext cx="4176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314720</xdr:colOff>
      <xdr:row>23</xdr:row>
      <xdr:rowOff>40134</xdr:rowOff>
    </xdr:from>
    <xdr:to>
      <xdr:col>12</xdr:col>
      <xdr:colOff>505160</xdr:colOff>
      <xdr:row>24</xdr:row>
      <xdr:rowOff>72877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1A738FD-7773-748F-2B91-50BDC278DCDA}"/>
                </a:ext>
                <a:ext uri="{147F2762-F138-4A5C-976F-8EAC2B608ADB}">
                  <a16:predDERef xmlns:a16="http://schemas.microsoft.com/office/drawing/2014/main" pred="{31020AD3-EE37-276C-5916-94F4D1141806}"/>
                </a:ext>
              </a:extLst>
            </xdr14:cNvPr>
            <xdr14:cNvContentPartPr/>
          </xdr14:nvContentPartPr>
          <xdr14:nvPr macro=""/>
          <xdr14:xfrm>
            <a:off x="9122785" y="4956263"/>
            <a:ext cx="190440" cy="237582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1A738FD-7773-748F-2B91-50BDC278DCDA}"/>
                </a:ext>
                <a:ext uri="{147F2762-F138-4A5C-976F-8EAC2B608ADB}">
                  <a16:predDERef xmlns:a16="http://schemas.microsoft.com/office/drawing/2014/main" pred="{31020AD3-EE37-276C-5916-94F4D11418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87000" y="2310840"/>
              <a:ext cx="21168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553400</xdr:colOff>
      <xdr:row>22</xdr:row>
      <xdr:rowOff>177669</xdr:rowOff>
    </xdr:from>
    <xdr:to>
      <xdr:col>13</xdr:col>
      <xdr:colOff>13280</xdr:colOff>
      <xdr:row>23</xdr:row>
      <xdr:rowOff>8094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E8143CE-646B-9F67-93DC-552C43017FA5}"/>
                </a:ext>
                <a:ext uri="{147F2762-F138-4A5C-976F-8EAC2B608ADB}">
                  <a16:predDERef xmlns:a16="http://schemas.microsoft.com/office/drawing/2014/main" pred="{61A738FD-7773-748F-2B91-50BDC278DCDA}"/>
                </a:ext>
              </a:extLst>
            </xdr14:cNvPr>
            <xdr14:cNvContentPartPr/>
          </xdr14:nvContentPartPr>
          <xdr14:nvPr macro=""/>
          <xdr14:xfrm>
            <a:off x="9361465" y="4888959"/>
            <a:ext cx="197299" cy="35264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E8143CE-646B-9F67-93DC-552C43017FA5}"/>
                </a:ext>
                <a:ext uri="{147F2762-F138-4A5C-976F-8EAC2B608ADB}">
                  <a16:predDERef xmlns:a16="http://schemas.microsoft.com/office/drawing/2014/main" pred="{61A738FD-7773-748F-2B91-50BDC278DCD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8725680" y="2258280"/>
              <a:ext cx="15732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517040</xdr:colOff>
      <xdr:row>23</xdr:row>
      <xdr:rowOff>7734</xdr:rowOff>
    </xdr:from>
    <xdr:to>
      <xdr:col>13</xdr:col>
      <xdr:colOff>1764</xdr:colOff>
      <xdr:row>24</xdr:row>
      <xdr:rowOff>64597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5B0B400-3064-8092-6448-9DDDA4F07A43}"/>
                </a:ext>
                <a:ext uri="{147F2762-F138-4A5C-976F-8EAC2B608ADB}">
                  <a16:predDERef xmlns:a16="http://schemas.microsoft.com/office/drawing/2014/main" pred="{6E8143CE-646B-9F67-93DC-552C43017FA5}"/>
                </a:ext>
              </a:extLst>
            </xdr14:cNvPr>
            <xdr14:cNvContentPartPr/>
          </xdr14:nvContentPartPr>
          <xdr14:nvPr macro=""/>
          <xdr14:xfrm>
            <a:off x="9325105" y="4923863"/>
            <a:ext cx="199099" cy="261702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5B0B400-3064-8092-6448-9DDDA4F07A43}"/>
                </a:ext>
                <a:ext uri="{147F2762-F138-4A5C-976F-8EAC2B608ADB}">
                  <a16:predDERef xmlns:a16="http://schemas.microsoft.com/office/drawing/2014/main" pred="{6E8143CE-646B-9F67-93DC-552C43017FA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8688960" y="2278440"/>
              <a:ext cx="159120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585800</xdr:colOff>
      <xdr:row>23</xdr:row>
      <xdr:rowOff>173694</xdr:rowOff>
    </xdr:from>
    <xdr:to>
      <xdr:col>13</xdr:col>
      <xdr:colOff>51440</xdr:colOff>
      <xdr:row>24</xdr:row>
      <xdr:rowOff>119677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73E9657-C6C5-FD2B-038A-D918D318406F}"/>
                </a:ext>
                <a:ext uri="{147F2762-F138-4A5C-976F-8EAC2B608ADB}">
                  <a16:predDERef xmlns:a16="http://schemas.microsoft.com/office/drawing/2014/main" pred="{45B0B400-3064-8092-6448-9DDDA4F07A43}"/>
                </a:ext>
              </a:extLst>
            </xdr14:cNvPr>
            <xdr14:cNvContentPartPr/>
          </xdr14:nvContentPartPr>
          <xdr14:nvPr macro=""/>
          <xdr14:xfrm>
            <a:off x="9393865" y="5089823"/>
            <a:ext cx="203059" cy="150822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73E9657-C6C5-FD2B-038A-D918D318406F}"/>
                </a:ext>
                <a:ext uri="{147F2762-F138-4A5C-976F-8EAC2B608ADB}">
                  <a16:predDERef xmlns:a16="http://schemas.microsoft.com/office/drawing/2014/main" pred="{45B0B400-3064-8092-6448-9DDDA4F07A43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757720" y="2444400"/>
              <a:ext cx="16308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330920</xdr:colOff>
      <xdr:row>24</xdr:row>
      <xdr:rowOff>177637</xdr:rowOff>
    </xdr:from>
    <xdr:to>
      <xdr:col>13</xdr:col>
      <xdr:colOff>31280</xdr:colOff>
      <xdr:row>25</xdr:row>
      <xdr:rowOff>20302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335B36F-F7D4-E989-3A0B-088B67D2A173}"/>
                </a:ext>
                <a:ext uri="{147F2762-F138-4A5C-976F-8EAC2B608ADB}">
                  <a16:predDERef xmlns:a16="http://schemas.microsoft.com/office/drawing/2014/main" pred="{973E9657-C6C5-FD2B-038A-D918D318406F}"/>
                </a:ext>
              </a:extLst>
            </xdr14:cNvPr>
            <xdr14:cNvContentPartPr/>
          </xdr14:nvContentPartPr>
          <xdr14:nvPr macro=""/>
          <xdr14:xfrm>
            <a:off x="9138985" y="5298605"/>
            <a:ext cx="437779" cy="47503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335B36F-F7D4-E989-3A0B-088B67D2A173}"/>
                </a:ext>
                <a:ext uri="{147F2762-F138-4A5C-976F-8EAC2B608ADB}">
                  <a16:predDERef xmlns:a16="http://schemas.microsoft.com/office/drawing/2014/main" pred="{973E9657-C6C5-FD2B-038A-D918D318406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8503200" y="2638440"/>
              <a:ext cx="397800" cy="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403640</xdr:colOff>
      <xdr:row>25</xdr:row>
      <xdr:rowOff>113182</xdr:rowOff>
    </xdr:from>
    <xdr:to>
      <xdr:col>12</xdr:col>
      <xdr:colOff>549440</xdr:colOff>
      <xdr:row>25</xdr:row>
      <xdr:rowOff>141982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3B15308-490B-45F6-6402-926120F74309}"/>
                </a:ext>
                <a:ext uri="{147F2762-F138-4A5C-976F-8EAC2B608ADB}">
                  <a16:predDERef xmlns:a16="http://schemas.microsoft.com/office/drawing/2014/main" pred="{A335B36F-F7D4-E989-3A0B-088B67D2A173}"/>
                </a:ext>
              </a:extLst>
            </xdr14:cNvPr>
            <xdr14:cNvContentPartPr/>
          </xdr14:nvContentPartPr>
          <xdr14:nvPr macro=""/>
          <xdr14:xfrm>
            <a:off x="9211705" y="5438988"/>
            <a:ext cx="145800" cy="2880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3B15308-490B-45F6-6402-926120F74309}"/>
                </a:ext>
                <a:ext uri="{147F2762-F138-4A5C-976F-8EAC2B608ADB}">
                  <a16:predDERef xmlns:a16="http://schemas.microsoft.com/office/drawing/2014/main" pred="{A335B36F-F7D4-E989-3A0B-088B67D2A17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575920" y="2763720"/>
              <a:ext cx="16704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440000</xdr:colOff>
      <xdr:row>25</xdr:row>
      <xdr:rowOff>141262</xdr:rowOff>
    </xdr:from>
    <xdr:to>
      <xdr:col>12</xdr:col>
      <xdr:colOff>472760</xdr:colOff>
      <xdr:row>26</xdr:row>
      <xdr:rowOff>121447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20EAF17-B997-FF9F-CC75-0D93E1DD1992}"/>
                </a:ext>
                <a:ext uri="{147F2762-F138-4A5C-976F-8EAC2B608ADB}">
                  <a16:predDERef xmlns:a16="http://schemas.microsoft.com/office/drawing/2014/main" pred="{A3B15308-490B-45F6-6402-926120F74309}"/>
                </a:ext>
              </a:extLst>
            </xdr14:cNvPr>
            <xdr14:cNvContentPartPr/>
          </xdr14:nvContentPartPr>
          <xdr14:nvPr macro=""/>
          <xdr14:xfrm>
            <a:off x="9248065" y="5467068"/>
            <a:ext cx="32760" cy="185024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20EAF17-B997-FF9F-CC75-0D93E1DD1992}"/>
                </a:ext>
                <a:ext uri="{147F2762-F138-4A5C-976F-8EAC2B608ADB}">
                  <a16:predDERef xmlns:a16="http://schemas.microsoft.com/office/drawing/2014/main" pred="{A3B15308-490B-45F6-6402-926120F74309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612280" y="2792160"/>
              <a:ext cx="5400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395720</xdr:colOff>
      <xdr:row>26</xdr:row>
      <xdr:rowOff>117127</xdr:rowOff>
    </xdr:from>
    <xdr:to>
      <xdr:col>12</xdr:col>
      <xdr:colOff>537560</xdr:colOff>
      <xdr:row>26</xdr:row>
      <xdr:rowOff>153847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FACB27F-D207-5A11-FDB1-FF89B205F882}"/>
                </a:ext>
                <a:ext uri="{147F2762-F138-4A5C-976F-8EAC2B608ADB}">
                  <a16:predDERef xmlns:a16="http://schemas.microsoft.com/office/drawing/2014/main" pred="{720EAF17-B997-FF9F-CC75-0D93E1DD1992}"/>
                </a:ext>
              </a:extLst>
            </xdr14:cNvPr>
            <xdr14:cNvContentPartPr/>
          </xdr14:nvContentPartPr>
          <xdr14:nvPr macro=""/>
          <xdr14:xfrm>
            <a:off x="9203785" y="5647772"/>
            <a:ext cx="141840" cy="36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FACB27F-D207-5A11-FDB1-FF89B205F882}"/>
                </a:ext>
                <a:ext uri="{147F2762-F138-4A5C-976F-8EAC2B608ADB}">
                  <a16:predDERef xmlns:a16="http://schemas.microsoft.com/office/drawing/2014/main" pred="{720EAF17-B997-FF9F-CC75-0D93E1DD1992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567640" y="2957760"/>
              <a:ext cx="1630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504800</xdr:colOff>
      <xdr:row>26</xdr:row>
      <xdr:rowOff>32167</xdr:rowOff>
    </xdr:from>
    <xdr:to>
      <xdr:col>13</xdr:col>
      <xdr:colOff>6800</xdr:colOff>
      <xdr:row>27</xdr:row>
      <xdr:rowOff>16310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0835CBE-864E-31E3-2D02-803037AA9D26}"/>
                </a:ext>
                <a:ext uri="{147F2762-F138-4A5C-976F-8EAC2B608ADB}">
                  <a16:predDERef xmlns:a16="http://schemas.microsoft.com/office/drawing/2014/main" pred="{1FACB27F-D207-5A11-FDB1-FF89B205F882}"/>
                </a:ext>
              </a:extLst>
            </xdr14:cNvPr>
            <xdr14:cNvContentPartPr/>
          </xdr14:nvContentPartPr>
          <xdr14:nvPr macro=""/>
          <xdr14:xfrm>
            <a:off x="9312865" y="5562812"/>
            <a:ext cx="239419" cy="188982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0835CBE-864E-31E3-2D02-803037AA9D26}"/>
                </a:ext>
                <a:ext uri="{147F2762-F138-4A5C-976F-8EAC2B608ADB}">
                  <a16:predDERef xmlns:a16="http://schemas.microsoft.com/office/drawing/2014/main" pred="{1FACB27F-D207-5A11-FDB1-FF89B205F882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8677080" y="2873160"/>
              <a:ext cx="1994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193760</xdr:colOff>
      <xdr:row>22</xdr:row>
      <xdr:rowOff>141309</xdr:rowOff>
    </xdr:from>
    <xdr:to>
      <xdr:col>12</xdr:col>
      <xdr:colOff>400040</xdr:colOff>
      <xdr:row>26</xdr:row>
      <xdr:rowOff>182287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151194D-A8D5-EEA4-8FD9-7A27074E3333}"/>
                </a:ext>
                <a:ext uri="{147F2762-F138-4A5C-976F-8EAC2B608ADB}">
                  <a16:predDERef xmlns:a16="http://schemas.microsoft.com/office/drawing/2014/main" pred="{50835CBE-864E-31E3-2D02-803037AA9D26}"/>
                </a:ext>
              </a:extLst>
            </xdr14:cNvPr>
            <xdr14:cNvContentPartPr/>
          </xdr14:nvContentPartPr>
          <xdr14:nvPr macro=""/>
          <xdr14:xfrm>
            <a:off x="9001825" y="4852599"/>
            <a:ext cx="206280" cy="860333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151194D-A8D5-EEA4-8FD9-7A27074E3333}"/>
                </a:ext>
                <a:ext uri="{147F2762-F138-4A5C-976F-8EAC2B608ADB}">
                  <a16:predDERef xmlns:a16="http://schemas.microsoft.com/office/drawing/2014/main" pred="{50835CBE-864E-31E3-2D02-803037AA9D2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366040" y="2221920"/>
              <a:ext cx="227520" cy="82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80253</xdr:colOff>
      <xdr:row>23</xdr:row>
      <xdr:rowOff>80814</xdr:rowOff>
    </xdr:from>
    <xdr:to>
      <xdr:col>13</xdr:col>
      <xdr:colOff>302733</xdr:colOff>
      <xdr:row>26</xdr:row>
      <xdr:rowOff>170047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8EB7730-ACE2-E0BE-5B20-D704293AC9BD}"/>
                </a:ext>
                <a:ext uri="{147F2762-F138-4A5C-976F-8EAC2B608ADB}">
                  <a16:predDERef xmlns:a16="http://schemas.microsoft.com/office/drawing/2014/main" pred="{B151194D-A8D5-EEA4-8FD9-7A27074E3333}"/>
                </a:ext>
              </a:extLst>
            </xdr14:cNvPr>
            <xdr14:cNvContentPartPr/>
          </xdr14:nvContentPartPr>
          <xdr14:nvPr macro=""/>
          <xdr14:xfrm>
            <a:off x="9625737" y="4996943"/>
            <a:ext cx="222480" cy="703749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8EB7730-ACE2-E0BE-5B20-D704293AC9BD}"/>
                </a:ext>
                <a:ext uri="{147F2762-F138-4A5C-976F-8EAC2B608ADB}">
                  <a16:predDERef xmlns:a16="http://schemas.microsoft.com/office/drawing/2014/main" pred="{B151194D-A8D5-EEA4-8FD9-7A27074E3333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911440" y="2351160"/>
              <a:ext cx="243720" cy="68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387693</xdr:colOff>
      <xdr:row>22</xdr:row>
      <xdr:rowOff>145269</xdr:rowOff>
    </xdr:from>
    <xdr:to>
      <xdr:col>13</xdr:col>
      <xdr:colOff>521613</xdr:colOff>
      <xdr:row>23</xdr:row>
      <xdr:rowOff>113214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B0D23D0-2A5C-24E7-4185-D0AF04978D00}"/>
                </a:ext>
                <a:ext uri="{147F2762-F138-4A5C-976F-8EAC2B608ADB}">
                  <a16:predDERef xmlns:a16="http://schemas.microsoft.com/office/drawing/2014/main" pred="{68EB7730-ACE2-E0BE-5B20-D704293AC9BD}"/>
                </a:ext>
              </a:extLst>
            </xdr14:cNvPr>
            <xdr14:cNvContentPartPr/>
          </xdr14:nvContentPartPr>
          <xdr14:nvPr macro=""/>
          <xdr14:xfrm>
            <a:off x="9933177" y="4856559"/>
            <a:ext cx="133920" cy="172784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B0D23D0-2A5C-24E7-4185-D0AF04978D00}"/>
                </a:ext>
                <a:ext uri="{147F2762-F138-4A5C-976F-8EAC2B608ADB}">
                  <a16:predDERef xmlns:a16="http://schemas.microsoft.com/office/drawing/2014/main" pred="{68EB7730-ACE2-E0BE-5B20-D704293AC9BD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218880" y="2225880"/>
              <a:ext cx="15516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581840</xdr:colOff>
      <xdr:row>22</xdr:row>
      <xdr:rowOff>32229</xdr:rowOff>
    </xdr:from>
    <xdr:to>
      <xdr:col>13</xdr:col>
      <xdr:colOff>502520</xdr:colOff>
      <xdr:row>22</xdr:row>
      <xdr:rowOff>61029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BCD548A0-3A60-A27C-7321-256CC86D47BC}"/>
                </a:ext>
                <a:ext uri="{147F2762-F138-4A5C-976F-8EAC2B608ADB}">
                  <a16:predDERef xmlns:a16="http://schemas.microsoft.com/office/drawing/2014/main" pred="{BB0D23D0-2A5C-24E7-4185-D0AF04978D00}"/>
                </a:ext>
              </a:extLst>
            </xdr14:cNvPr>
            <xdr14:cNvContentPartPr/>
          </xdr14:nvContentPartPr>
          <xdr14:nvPr macro=""/>
          <xdr14:xfrm>
            <a:off x="9389905" y="4743519"/>
            <a:ext cx="658099" cy="288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BCD548A0-3A60-A27C-7321-256CC86D47BC}"/>
                </a:ext>
                <a:ext uri="{147F2762-F138-4A5C-976F-8EAC2B608ADB}">
                  <a16:predDERef xmlns:a16="http://schemas.microsoft.com/office/drawing/2014/main" pred="{BB0D23D0-2A5C-24E7-4185-D0AF04978D00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8753760" y="2112480"/>
              <a:ext cx="618120" cy="5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440322</xdr:colOff>
      <xdr:row>23</xdr:row>
      <xdr:rowOff>3774</xdr:rowOff>
    </xdr:from>
    <xdr:to>
      <xdr:col>11</xdr:col>
      <xdr:colOff>64081</xdr:colOff>
      <xdr:row>24</xdr:row>
      <xdr:rowOff>64957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6E12E9EE-D710-1413-379C-8DE8EB342995}"/>
                </a:ext>
                <a:ext uri="{147F2762-F138-4A5C-976F-8EAC2B608ADB}">
                  <a16:predDERef xmlns:a16="http://schemas.microsoft.com/office/drawing/2014/main" pred="{BCD548A0-3A60-A27C-7321-256CC86D47BC}"/>
                </a:ext>
              </a:extLst>
            </xdr14:cNvPr>
            <xdr14:cNvContentPartPr/>
          </xdr14:nvContentPartPr>
          <xdr14:nvPr macro=""/>
          <xdr14:xfrm>
            <a:off x="7814516" y="4919903"/>
            <a:ext cx="320210" cy="266022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6E12E9EE-D710-1413-379C-8DE8EB342995}"/>
                </a:ext>
                <a:ext uri="{147F2762-F138-4A5C-976F-8EAC2B608ADB}">
                  <a16:predDERef xmlns:a16="http://schemas.microsoft.com/office/drawing/2014/main" pred="{BCD548A0-3A60-A27C-7321-256CC86D47BC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7305840" y="2274480"/>
              <a:ext cx="30060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467854</xdr:colOff>
      <xdr:row>25</xdr:row>
      <xdr:rowOff>154879</xdr:rowOff>
    </xdr:from>
    <xdr:to>
      <xdr:col>9</xdr:col>
      <xdr:colOff>438592</xdr:colOff>
      <xdr:row>26</xdr:row>
      <xdr:rowOff>145473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E3D1843A-EC84-CC2B-5358-704A7AE41472}"/>
                </a:ext>
                <a:ext uri="{147F2762-F138-4A5C-976F-8EAC2B608ADB}">
                  <a16:predDERef xmlns:a16="http://schemas.microsoft.com/office/drawing/2014/main" pred="{6E12E9EE-D710-1413-379C-8DE8EB342995}"/>
                </a:ext>
              </a:extLst>
            </xdr14:cNvPr>
            <xdr14:cNvContentPartPr/>
          </xdr14:nvContentPartPr>
          <xdr14:nvPr macro=""/>
          <xdr14:xfrm>
            <a:off x="6203338" y="5480685"/>
            <a:ext cx="667189" cy="195433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E3D1843A-EC84-CC2B-5358-704A7AE41472}"/>
                </a:ext>
                <a:ext uri="{147F2762-F138-4A5C-976F-8EAC2B608ADB}">
                  <a16:predDERef xmlns:a16="http://schemas.microsoft.com/office/drawing/2014/main" pred="{6E12E9EE-D710-1413-379C-8DE8EB342995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854320" y="2791080"/>
              <a:ext cx="6415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58072</xdr:colOff>
      <xdr:row>26</xdr:row>
      <xdr:rowOff>130713</xdr:rowOff>
    </xdr:from>
    <xdr:to>
      <xdr:col>9</xdr:col>
      <xdr:colOff>196672</xdr:colOff>
      <xdr:row>28</xdr:row>
      <xdr:rowOff>116580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34E23A4-C9A3-BE27-AC59-0B05196527A1}"/>
                </a:ext>
                <a:ext uri="{147F2762-F138-4A5C-976F-8EAC2B608ADB}">
                  <a16:predDERef xmlns:a16="http://schemas.microsoft.com/office/drawing/2014/main" pred="{E3D1843A-EC84-CC2B-5358-704A7AE41472}"/>
                </a:ext>
              </a:extLst>
            </xdr14:cNvPr>
            <xdr14:cNvContentPartPr/>
          </xdr14:nvContentPartPr>
          <xdr14:nvPr macro=""/>
          <xdr14:xfrm>
            <a:off x="6490007" y="5661358"/>
            <a:ext cx="138600" cy="395545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34E23A4-C9A3-BE27-AC59-0B05196527A1}"/>
                </a:ext>
                <a:ext uri="{147F2762-F138-4A5C-976F-8EAC2B608ADB}">
                  <a16:predDERef xmlns:a16="http://schemas.microsoft.com/office/drawing/2014/main" pred="{E3D1843A-EC84-CC2B-5358-704A7AE41472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6094080" y="2955600"/>
              <a:ext cx="15984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167152</xdr:colOff>
      <xdr:row>27</xdr:row>
      <xdr:rowOff>14386</xdr:rowOff>
    </xdr:from>
    <xdr:to>
      <xdr:col>9</xdr:col>
      <xdr:colOff>366232</xdr:colOff>
      <xdr:row>28</xdr:row>
      <xdr:rowOff>142500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424FC62C-4833-079A-BFC3-C5310C860F1C}"/>
                </a:ext>
                <a:ext uri="{147F2762-F138-4A5C-976F-8EAC2B608ADB}">
                  <a16:predDERef xmlns:a16="http://schemas.microsoft.com/office/drawing/2014/main" pred="{134E23A4-C9A3-BE27-AC59-0B05196527A1}"/>
                </a:ext>
              </a:extLst>
            </xdr14:cNvPr>
            <xdr14:cNvContentPartPr/>
          </xdr14:nvContentPartPr>
          <xdr14:nvPr macro=""/>
          <xdr14:xfrm>
            <a:off x="6599087" y="5749870"/>
            <a:ext cx="199080" cy="332953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424FC62C-4833-079A-BFC3-C5310C860F1C}"/>
                </a:ext>
                <a:ext uri="{147F2762-F138-4A5C-976F-8EAC2B608ADB}">
                  <a16:predDERef xmlns:a16="http://schemas.microsoft.com/office/drawing/2014/main" pred="{134E23A4-C9A3-BE27-AC59-0B05196527A1}"/>
                </a:ext>
              </a:extLst>
            </xdr:cNvPr>
            <xdr:cNvPicPr/>
          </xdr:nvPicPr>
          <xdr:blipFill>
            <a:blip xmlns:r="http://schemas.openxmlformats.org/officeDocument/2006/relationships">
              <a:extLst>
                <a:ext uri="{859C6359-EEC7-425E-80AA-8B6E71F07EA2}">
                  <ac:imgData xmlns:ac="http://schemas.microsoft.com/office/drawing/2013/main/command" contentType="image/png" extension="">iVBORw0KGgoAAAANSUhEUgAAABIAAAAbCAYAAABxwd+fAAAAAXNSR0IArs4c6QAAAHhlWElmTU0A
KgAAAAgABQESAAMAAAABAAEAAAEaAAUAAAABAAAASgEbAAUAAAABAAAAUgEoAAMAAAABAAIAAIdp
AAQAAAABAAAAWgAAAAAAAABIAAAAAQAAAEgAAAABAAKgAgAEAAAAAQAAABKgAwAEAAAAAQAAABsA
AAAAK0s1lQAAAAlwSFlzAAALEwAACxMBAJqcGAAAAQNJREFUOBGtVAkOwjAMA8S/lp8RXtbxsmFP
9QjZJtoKS1ku2wtIcLn0wUEviKUG+y442BLnbC1OJMULsgl7ck5h2BwZcJZ37A/hmP56c3yJZRcO
IkFmnomJ97UmWUJlmhriCIYheY7Y4KgkVuasGxIzF4R1O0BwS6IX+jnNmlteEa9i7c3qRDwyGzbk
Ffky9dx1w6GQQcwFc0N0w6GIRqo5H4JDJRNlzoZgUBWEjJjZG2IIDlU0Y22IIThUfzOzZMaPOQyD
crss/9aGXa8dSl7AmGpG+uDMyCrlUbP62u7SUxMS+YUxlsYQ38Bf4Xi2iKPQVmV43FFPoVc510J/
dOq13+U3hUmWhi5qMsUAAAAASUVORK5CYII=</ac:imgData>
                </a:ext>
                <a:ext uri="{25254902-B7B3-43ED-9DED-04A9389C662E}">
                  <ac:picSrcUrl xmlns:ac="http://schemas.microsoft.com/office/drawing/2013/main/command" tgt=""/>
                </a:ext>
              </a:extLst>
            </a:blip>
            <a:stretch>
              <a:fillRect/>
            </a:stretch>
          </xdr:blipFill>
          <xdr:spPr>
            <a:xfrm>
              <a:off x="6203520" y="3028320"/>
              <a:ext cx="2203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766872</xdr:colOff>
      <xdr:row>23</xdr:row>
      <xdr:rowOff>190440</xdr:rowOff>
    </xdr:from>
    <xdr:to>
      <xdr:col>1</xdr:col>
      <xdr:colOff>75948</xdr:colOff>
      <xdr:row>25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2B8FE0E-257B-51BB-746B-43287939A7AB}"/>
                </a:ext>
                <a:ext uri="{147F2762-F138-4A5C-976F-8EAC2B608ADB}">
                  <a16:predDERef xmlns:a16="http://schemas.microsoft.com/office/drawing/2014/main" pred="{424FC62C-4833-079A-BFC3-C5310C860F1C}"/>
                </a:ext>
              </a:extLst>
            </xdr14:cNvPr>
            <xdr14:cNvContentPartPr/>
          </xdr14:nvContentPartPr>
          <xdr14:nvPr macro=""/>
          <xdr14:xfrm>
            <a:off x="766872" y="5106569"/>
            <a:ext cx="333270" cy="237117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2B8FE0E-257B-51BB-746B-43287939A7AB}"/>
                </a:ext>
                <a:ext uri="{147F2762-F138-4A5C-976F-8EAC2B608ADB}">
                  <a16:predDERef xmlns:a16="http://schemas.microsoft.com/office/drawing/2014/main" pred="{424FC62C-4833-079A-BFC3-C5310C860F1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797040" y="2465640"/>
              <a:ext cx="27576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117708</xdr:colOff>
      <xdr:row>23</xdr:row>
      <xdr:rowOff>126720</xdr:rowOff>
    </xdr:from>
    <xdr:to>
      <xdr:col>1</xdr:col>
      <xdr:colOff>304908</xdr:colOff>
      <xdr:row>25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F160DBF-58F7-8644-ED25-CB64D9B93184}"/>
                </a:ext>
                <a:ext uri="{147F2762-F138-4A5C-976F-8EAC2B608ADB}">
                  <a16:predDERef xmlns:a16="http://schemas.microsoft.com/office/drawing/2014/main" pred="{12B8FE0E-257B-51BB-746B-43287939A7AB}"/>
                </a:ext>
              </a:extLst>
            </xdr14:cNvPr>
            <xdr14:cNvContentPartPr/>
          </xdr14:nvContentPartPr>
          <xdr14:nvPr macro=""/>
          <xdr14:xfrm>
            <a:off x="1141902" y="5042849"/>
            <a:ext cx="187200" cy="292197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F160DBF-58F7-8644-ED25-CB64D9B93184}"/>
                </a:ext>
                <a:ext uri="{147F2762-F138-4A5C-976F-8EAC2B608ADB}">
                  <a16:predDERef xmlns:a16="http://schemas.microsoft.com/office/drawing/2014/main" pred="{12B8FE0E-257B-51BB-746B-43287939A7AB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93320" y="2402280"/>
              <a:ext cx="208440" cy="28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265668</xdr:colOff>
      <xdr:row>24</xdr:row>
      <xdr:rowOff>84539</xdr:rowOff>
    </xdr:from>
    <xdr:to>
      <xdr:col>1</xdr:col>
      <xdr:colOff>350628</xdr:colOff>
      <xdr:row>25</xdr:row>
      <xdr:rowOff>45960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1D515F8-2884-E136-44D0-649C900268A5}"/>
                </a:ext>
                <a:ext uri="{147F2762-F138-4A5C-976F-8EAC2B608ADB}">
                  <a16:predDERef xmlns:a16="http://schemas.microsoft.com/office/drawing/2014/main" pred="{CF160DBF-58F7-8644-ED25-CB64D9B93184}"/>
                </a:ext>
              </a:extLst>
            </xdr14:cNvPr>
            <xdr14:cNvContentPartPr/>
          </xdr14:nvContentPartPr>
          <xdr14:nvPr macro=""/>
          <xdr14:xfrm>
            <a:off x="1289862" y="5205507"/>
            <a:ext cx="84960" cy="166259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1D515F8-2884-E136-44D0-649C900268A5}"/>
                </a:ext>
                <a:ext uri="{147F2762-F138-4A5C-976F-8EAC2B608ADB}">
                  <a16:predDERef xmlns:a16="http://schemas.microsoft.com/office/drawing/2014/main" pred="{CF160DBF-58F7-8644-ED25-CB64D9B9318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41640" y="2550240"/>
              <a:ext cx="1062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470508</xdr:colOff>
      <xdr:row>24</xdr:row>
      <xdr:rowOff>13979</xdr:rowOff>
    </xdr:from>
    <xdr:to>
      <xdr:col>2</xdr:col>
      <xdr:colOff>3150</xdr:colOff>
      <xdr:row>24</xdr:row>
      <xdr:rowOff>24779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84378D57-6593-B054-AB22-290A82EA066B}"/>
                </a:ext>
                <a:ext uri="{147F2762-F138-4A5C-976F-8EAC2B608ADB}">
                  <a16:predDERef xmlns:a16="http://schemas.microsoft.com/office/drawing/2014/main" pred="{11D515F8-2884-E136-44D0-649C900268A5}"/>
                </a:ext>
              </a:extLst>
            </xdr14:cNvPr>
            <xdr14:cNvContentPartPr/>
          </xdr14:nvContentPartPr>
          <xdr14:nvPr macro=""/>
          <xdr14:xfrm>
            <a:off x="1494702" y="5134947"/>
            <a:ext cx="170817" cy="108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84378D57-6593-B054-AB22-290A82EA066B}"/>
                </a:ext>
                <a:ext uri="{147F2762-F138-4A5C-976F-8EAC2B608ADB}">
                  <a16:predDERef xmlns:a16="http://schemas.microsoft.com/office/drawing/2014/main" pred="{11D515F8-2884-E136-44D0-649C900268A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446120" y="2479680"/>
              <a:ext cx="14688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484548</xdr:colOff>
      <xdr:row>24</xdr:row>
      <xdr:rowOff>73739</xdr:rowOff>
    </xdr:from>
    <xdr:to>
      <xdr:col>2</xdr:col>
      <xdr:colOff>2760</xdr:colOff>
      <xdr:row>24</xdr:row>
      <xdr:rowOff>91739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7F5C24C-D1EA-A3FE-AB32-5D1E2C16BBE2}"/>
                </a:ext>
                <a:ext uri="{147F2762-F138-4A5C-976F-8EAC2B608ADB}">
                  <a16:predDERef xmlns:a16="http://schemas.microsoft.com/office/drawing/2014/main" pred="{84378D57-6593-B054-AB22-290A82EA066B}"/>
                </a:ext>
              </a:extLst>
            </xdr14:cNvPr>
            <xdr14:cNvContentPartPr/>
          </xdr14:nvContentPartPr>
          <xdr14:nvPr macro=""/>
          <xdr14:xfrm>
            <a:off x="1508742" y="5194707"/>
            <a:ext cx="137337" cy="18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7F5C24C-D1EA-A3FE-AB32-5D1E2C16BBE2}"/>
                </a:ext>
                <a:ext uri="{147F2762-F138-4A5C-976F-8EAC2B608ADB}">
                  <a16:predDERef xmlns:a16="http://schemas.microsoft.com/office/drawing/2014/main" pred="{84378D57-6593-B054-AB22-290A82EA066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460160" y="2539800"/>
              <a:ext cx="1134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279962</xdr:colOff>
      <xdr:row>22</xdr:row>
      <xdr:rowOff>123180</xdr:rowOff>
    </xdr:from>
    <xdr:to>
      <xdr:col>2</xdr:col>
      <xdr:colOff>462122</xdr:colOff>
      <xdr:row>23</xdr:row>
      <xdr:rowOff>132480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F4EFD965-0E6F-B347-7B53-4E1F161D0350}"/>
                </a:ext>
                <a:ext uri="{147F2762-F138-4A5C-976F-8EAC2B608ADB}">
                  <a16:predDERef xmlns:a16="http://schemas.microsoft.com/office/drawing/2014/main" pred="{C7F5C24C-D1EA-A3FE-AB32-5D1E2C16BBE2}"/>
                </a:ext>
              </a:extLst>
            </xdr14:cNvPr>
            <xdr14:cNvContentPartPr/>
          </xdr14:nvContentPartPr>
          <xdr14:nvPr macro=""/>
          <xdr14:xfrm>
            <a:off x="1959639" y="4834470"/>
            <a:ext cx="182160" cy="214139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F4EFD965-0E6F-B347-7B53-4E1F161D0350}"/>
                </a:ext>
                <a:ext uri="{147F2762-F138-4A5C-976F-8EAC2B608ADB}">
                  <a16:predDERef xmlns:a16="http://schemas.microsoft.com/office/drawing/2014/main" pred="{C7F5C24C-D1EA-A3FE-AB32-5D1E2C16BBE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865880" y="2208240"/>
              <a:ext cx="20340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463202</xdr:colOff>
      <xdr:row>23</xdr:row>
      <xdr:rowOff>45720</xdr:rowOff>
    </xdr:from>
    <xdr:to>
      <xdr:col>2</xdr:col>
      <xdr:colOff>537722</xdr:colOff>
      <xdr:row>23</xdr:row>
      <xdr:rowOff>176760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8FE108E4-CF81-2553-7D0B-9165B8BA5229}"/>
                </a:ext>
                <a:ext uri="{147F2762-F138-4A5C-976F-8EAC2B608ADB}">
                  <a16:predDERef xmlns:a16="http://schemas.microsoft.com/office/drawing/2014/main" pred="{F4EFD965-0E6F-B347-7B53-4E1F161D0350}"/>
                </a:ext>
              </a:extLst>
            </xdr14:cNvPr>
            <xdr14:cNvContentPartPr/>
          </xdr14:nvContentPartPr>
          <xdr14:nvPr macro=""/>
          <xdr14:xfrm>
            <a:off x="2142879" y="4961849"/>
            <a:ext cx="74520" cy="1310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8FE108E4-CF81-2553-7D0B-9165B8BA5229}"/>
                </a:ext>
                <a:ext uri="{147F2762-F138-4A5C-976F-8EAC2B608ADB}">
                  <a16:predDERef xmlns:a16="http://schemas.microsoft.com/office/drawing/2014/main" pred="{F4EFD965-0E6F-B347-7B53-4E1F161D035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2049480" y="2320920"/>
              <a:ext cx="9576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617820</xdr:colOff>
      <xdr:row>23</xdr:row>
      <xdr:rowOff>45720</xdr:rowOff>
    </xdr:from>
    <xdr:to>
      <xdr:col>3</xdr:col>
      <xdr:colOff>128656</xdr:colOff>
      <xdr:row>24</xdr:row>
      <xdr:rowOff>17939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8FA1003-C975-74A0-B745-E30F3F318022}"/>
                </a:ext>
                <a:ext uri="{147F2762-F138-4A5C-976F-8EAC2B608ADB}">
                  <a16:predDERef xmlns:a16="http://schemas.microsoft.com/office/drawing/2014/main" pred="{8FE108E4-CF81-2553-7D0B-9165B8BA5229}"/>
                </a:ext>
              </a:extLst>
            </xdr14:cNvPr>
            <xdr14:cNvContentPartPr/>
          </xdr14:nvContentPartPr>
          <xdr14:nvPr macro=""/>
          <xdr14:xfrm>
            <a:off x="2297497" y="4961849"/>
            <a:ext cx="166320" cy="177058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8FA1003-C975-74A0-B745-E30F3F318022}"/>
                </a:ext>
                <a:ext uri="{147F2762-F138-4A5C-976F-8EAC2B608ADB}">
                  <a16:predDERef xmlns:a16="http://schemas.microsoft.com/office/drawing/2014/main" pred="{8FE108E4-CF81-2553-7D0B-9165B8BA522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158920" y="2320920"/>
              <a:ext cx="18756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99962</xdr:colOff>
      <xdr:row>22</xdr:row>
      <xdr:rowOff>151620</xdr:rowOff>
    </xdr:from>
    <xdr:to>
      <xdr:col>2</xdr:col>
      <xdr:colOff>269522</xdr:colOff>
      <xdr:row>23</xdr:row>
      <xdr:rowOff>102600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F113D0CB-2650-8800-7249-60F1568DBE24}"/>
                </a:ext>
                <a:ext uri="{147F2762-F138-4A5C-976F-8EAC2B608ADB}">
                  <a16:predDERef xmlns:a16="http://schemas.microsoft.com/office/drawing/2014/main" pred="{B8FA1003-C975-74A0-B745-E30F3F318022}"/>
                </a:ext>
              </a:extLst>
            </xdr14:cNvPr>
            <xdr14:cNvContentPartPr/>
          </xdr14:nvContentPartPr>
          <xdr14:nvPr macro=""/>
          <xdr14:xfrm>
            <a:off x="1779639" y="4862910"/>
            <a:ext cx="169560" cy="155819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F113D0CB-2650-8800-7249-60F1568DBE24}"/>
                </a:ext>
                <a:ext uri="{147F2762-F138-4A5C-976F-8EAC2B608ADB}">
                  <a16:predDERef xmlns:a16="http://schemas.microsoft.com/office/drawing/2014/main" pred="{B8FA1003-C975-74A0-B745-E30F3F318022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686240" y="2236320"/>
              <a:ext cx="19080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179752</xdr:colOff>
      <xdr:row>24</xdr:row>
      <xdr:rowOff>17221</xdr:rowOff>
    </xdr:from>
    <xdr:to>
      <xdr:col>3</xdr:col>
      <xdr:colOff>92390</xdr:colOff>
      <xdr:row>24</xdr:row>
      <xdr:rowOff>70141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042B9D45-B371-BEEC-8211-1429C033F517}"/>
                </a:ext>
                <a:ext uri="{147F2762-F138-4A5C-976F-8EAC2B608ADB}">
                  <a16:predDERef xmlns:a16="http://schemas.microsoft.com/office/drawing/2014/main" pred="{F113D0CB-2650-8800-7249-60F1568DBE24}"/>
                </a:ext>
              </a:extLst>
            </xdr14:cNvPr>
            <xdr14:cNvContentPartPr/>
          </xdr14:nvContentPartPr>
          <xdr14:nvPr macro=""/>
          <xdr14:xfrm>
            <a:off x="1859429" y="5138189"/>
            <a:ext cx="568122" cy="529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042B9D45-B371-BEEC-8211-1429C033F517}"/>
                </a:ext>
                <a:ext uri="{147F2762-F138-4A5C-976F-8EAC2B608ADB}">
                  <a16:predDERef xmlns:a16="http://schemas.microsoft.com/office/drawing/2014/main" pred="{F113D0CB-2650-8800-7249-60F1568DBE24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767960" y="2469600"/>
              <a:ext cx="5443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246352</xdr:colOff>
      <xdr:row>24</xdr:row>
      <xdr:rowOff>185701</xdr:rowOff>
    </xdr:from>
    <xdr:to>
      <xdr:col>2</xdr:col>
      <xdr:colOff>383512</xdr:colOff>
      <xdr:row>25</xdr:row>
      <xdr:rowOff>179135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9EA2E5D-6FE9-D52D-62B8-144A050C9A03}"/>
                </a:ext>
                <a:ext uri="{147F2762-F138-4A5C-976F-8EAC2B608ADB}">
                  <a16:predDERef xmlns:a16="http://schemas.microsoft.com/office/drawing/2014/main" pred="{042B9D45-B371-BEEC-8211-1429C033F517}"/>
                </a:ext>
              </a:extLst>
            </xdr14:cNvPr>
            <xdr14:cNvContentPartPr/>
          </xdr14:nvContentPartPr>
          <xdr14:nvPr macro=""/>
          <xdr14:xfrm>
            <a:off x="1926029" y="5306669"/>
            <a:ext cx="137160" cy="198272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9EA2E5D-6FE9-D52D-62B8-144A050C9A03}"/>
                </a:ext>
                <a:ext uri="{147F2762-F138-4A5C-976F-8EAC2B608ADB}">
                  <a16:predDERef xmlns:a16="http://schemas.microsoft.com/office/drawing/2014/main" pred="{042B9D45-B371-BEEC-8211-1429C033F517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834560" y="2638080"/>
              <a:ext cx="1584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369472</xdr:colOff>
      <xdr:row>25</xdr:row>
      <xdr:rowOff>48815</xdr:rowOff>
    </xdr:from>
    <xdr:to>
      <xdr:col>2</xdr:col>
      <xdr:colOff>454072</xdr:colOff>
      <xdr:row>25</xdr:row>
      <xdr:rowOff>173735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72FA91C4-BFE5-09C6-B7C8-7C93B3226C52}"/>
                </a:ext>
                <a:ext uri="{147F2762-F138-4A5C-976F-8EAC2B608ADB}">
                  <a16:predDERef xmlns:a16="http://schemas.microsoft.com/office/drawing/2014/main" pred="{F9EA2E5D-6FE9-D52D-62B8-144A050C9A03}"/>
                </a:ext>
              </a:extLst>
            </xdr14:cNvPr>
            <xdr14:cNvContentPartPr/>
          </xdr14:nvContentPartPr>
          <xdr14:nvPr macro=""/>
          <xdr14:xfrm>
            <a:off x="2049149" y="5374621"/>
            <a:ext cx="84600" cy="1249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72FA91C4-BFE5-09C6-B7C8-7C93B3226C52}"/>
                </a:ext>
                <a:ext uri="{147F2762-F138-4A5C-976F-8EAC2B608ADB}">
                  <a16:predDERef xmlns:a16="http://schemas.microsoft.com/office/drawing/2014/main" pred="{F9EA2E5D-6FE9-D52D-62B8-144A050C9A03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957320" y="2690640"/>
              <a:ext cx="1058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478192</xdr:colOff>
      <xdr:row>25</xdr:row>
      <xdr:rowOff>84095</xdr:rowOff>
    </xdr:from>
    <xdr:to>
      <xdr:col>3</xdr:col>
      <xdr:colOff>67910</xdr:colOff>
      <xdr:row>26</xdr:row>
      <xdr:rowOff>59887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6880DDED-9A59-C8E4-3444-2697D7FB0089}"/>
                </a:ext>
                <a:ext uri="{147F2762-F138-4A5C-976F-8EAC2B608ADB}">
                  <a16:predDERef xmlns:a16="http://schemas.microsoft.com/office/drawing/2014/main" pred="{72FA91C4-BFE5-09C6-B7C8-7C93B3226C52}"/>
                </a:ext>
              </a:extLst>
            </xdr14:cNvPr>
            <xdr14:cNvContentPartPr/>
          </xdr14:nvContentPartPr>
          <xdr14:nvPr macro=""/>
          <xdr14:xfrm>
            <a:off x="2157869" y="5409901"/>
            <a:ext cx="245202" cy="180631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6880DDED-9A59-C8E4-3444-2697D7FB0089}"/>
                </a:ext>
                <a:ext uri="{147F2762-F138-4A5C-976F-8EAC2B608ADB}">
                  <a16:predDERef xmlns:a16="http://schemas.microsoft.com/office/drawing/2014/main" pred="{72FA91C4-BFE5-09C6-B7C8-7C93B3226C52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066040" y="2725560"/>
              <a:ext cx="22140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64192</xdr:colOff>
      <xdr:row>22</xdr:row>
      <xdr:rowOff>112077</xdr:rowOff>
    </xdr:from>
    <xdr:to>
      <xdr:col>2</xdr:col>
      <xdr:colOff>194512</xdr:colOff>
      <xdr:row>25</xdr:row>
      <xdr:rowOff>161495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70654DE-C98B-7623-93A5-76494CAEFFF7}"/>
                </a:ext>
                <a:ext uri="{147F2762-F138-4A5C-976F-8EAC2B608ADB}">
                  <a16:predDERef xmlns:a16="http://schemas.microsoft.com/office/drawing/2014/main" pred="{6880DDED-9A59-C8E4-3444-2697D7FB0089}"/>
                </a:ext>
              </a:extLst>
            </xdr14:cNvPr>
            <xdr14:cNvContentPartPr/>
          </xdr14:nvContentPartPr>
          <xdr14:nvPr macro=""/>
          <xdr14:xfrm>
            <a:off x="1743869" y="4823367"/>
            <a:ext cx="130320" cy="663934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70654DE-C98B-7623-93A5-76494CAEFFF7}"/>
                </a:ext>
                <a:ext uri="{147F2762-F138-4A5C-976F-8EAC2B608ADB}">
                  <a16:predDERef xmlns:a16="http://schemas.microsoft.com/office/drawing/2014/main" pred="{6880DDED-9A59-C8E4-3444-2697D7FB0089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652040" y="2185560"/>
              <a:ext cx="151560" cy="63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165830</xdr:colOff>
      <xdr:row>22</xdr:row>
      <xdr:rowOff>126117</xdr:rowOff>
    </xdr:from>
    <xdr:to>
      <xdr:col>3</xdr:col>
      <xdr:colOff>310190</xdr:colOff>
      <xdr:row>25</xdr:row>
      <xdr:rowOff>81215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EC74B09-86FA-76EF-1308-2D66B434E4FA}"/>
                </a:ext>
                <a:ext uri="{147F2762-F138-4A5C-976F-8EAC2B608ADB}">
                  <a16:predDERef xmlns:a16="http://schemas.microsoft.com/office/drawing/2014/main" pred="{270654DE-C98B-7623-93A5-76494CAEFFF7}"/>
                </a:ext>
              </a:extLst>
            </xdr14:cNvPr>
            <xdr14:cNvContentPartPr/>
          </xdr14:nvContentPartPr>
          <xdr14:nvPr macro=""/>
          <xdr14:xfrm>
            <a:off x="2500991" y="4837407"/>
            <a:ext cx="144360" cy="569614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EC74B09-86FA-76EF-1308-2D66B434E4FA}"/>
                </a:ext>
                <a:ext uri="{147F2762-F138-4A5C-976F-8EAC2B608ADB}">
                  <a16:predDERef xmlns:a16="http://schemas.microsoft.com/office/drawing/2014/main" pred="{270654DE-C98B-7623-93A5-76494CAEFFF7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364480" y="2199600"/>
              <a:ext cx="165600" cy="54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306230</xdr:colOff>
      <xdr:row>21</xdr:row>
      <xdr:rowOff>185604</xdr:rowOff>
    </xdr:from>
    <xdr:to>
      <xdr:col>3</xdr:col>
      <xdr:colOff>446990</xdr:colOff>
      <xdr:row>22</xdr:row>
      <xdr:rowOff>101637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98746582-A5B6-BF77-E60E-913C0BE40857}"/>
                </a:ext>
                <a:ext uri="{147F2762-F138-4A5C-976F-8EAC2B608ADB}">
                  <a16:predDERef xmlns:a16="http://schemas.microsoft.com/office/drawing/2014/main" pred="{2EC74B09-86FA-76EF-1308-2D66B434E4FA}"/>
                </a:ext>
              </a:extLst>
            </xdr14:cNvPr>
            <xdr14:cNvContentPartPr/>
          </xdr14:nvContentPartPr>
          <xdr14:nvPr macro=""/>
          <xdr14:xfrm>
            <a:off x="2641391" y="4692056"/>
            <a:ext cx="140760" cy="120871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98746582-A5B6-BF77-E60E-913C0BE40857}"/>
                </a:ext>
                <a:ext uri="{147F2762-F138-4A5C-976F-8EAC2B608ADB}">
                  <a16:predDERef xmlns:a16="http://schemas.microsoft.com/office/drawing/2014/main" pred="{2EC74B09-86FA-76EF-1308-2D66B434E4F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504520" y="2069640"/>
              <a:ext cx="16200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520070</xdr:colOff>
      <xdr:row>23</xdr:row>
      <xdr:rowOff>101550</xdr:rowOff>
    </xdr:from>
    <xdr:to>
      <xdr:col>4</xdr:col>
      <xdr:colOff>57228</xdr:colOff>
      <xdr:row>23</xdr:row>
      <xdr:rowOff>129990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0BE6ADA7-1694-9246-5453-A91A86F34CF3}"/>
                </a:ext>
                <a:ext uri="{147F2762-F138-4A5C-976F-8EAC2B608ADB}">
                  <a16:predDERef xmlns:a16="http://schemas.microsoft.com/office/drawing/2014/main" pred="{98746582-A5B6-BF77-E60E-913C0BE40857}"/>
                </a:ext>
              </a:extLst>
            </xdr14:cNvPr>
            <xdr14:cNvContentPartPr/>
          </xdr14:nvContentPartPr>
          <xdr14:nvPr macro=""/>
          <xdr14:xfrm>
            <a:off x="2855231" y="5017679"/>
            <a:ext cx="192642" cy="2844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0BE6ADA7-1694-9246-5453-A91A86F34CF3}"/>
                </a:ext>
                <a:ext uri="{147F2762-F138-4A5C-976F-8EAC2B608ADB}">
                  <a16:predDERef xmlns:a16="http://schemas.microsoft.com/office/drawing/2014/main" pred="{98746582-A5B6-BF77-E60E-913C0BE4085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718720" y="2364480"/>
              <a:ext cx="16884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642512</xdr:colOff>
      <xdr:row>23</xdr:row>
      <xdr:rowOff>52590</xdr:rowOff>
    </xdr:from>
    <xdr:to>
      <xdr:col>4</xdr:col>
      <xdr:colOff>12587</xdr:colOff>
      <xdr:row>24</xdr:row>
      <xdr:rowOff>28381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944035A5-8184-4EDD-7801-073CFF1FFC13}"/>
                </a:ext>
                <a:ext uri="{147F2762-F138-4A5C-976F-8EAC2B608ADB}">
                  <a16:predDERef xmlns:a16="http://schemas.microsoft.com/office/drawing/2014/main" pred="{0BE6ADA7-1694-9246-5453-A91A86F34CF3}"/>
                </a:ext>
              </a:extLst>
            </xdr14:cNvPr>
            <xdr14:cNvContentPartPr/>
          </xdr14:nvContentPartPr>
          <xdr14:nvPr macro=""/>
          <xdr14:xfrm>
            <a:off x="2977673" y="4968719"/>
            <a:ext cx="10800" cy="18063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944035A5-8184-4EDD-7801-073CFF1FFC13}"/>
                </a:ext>
                <a:ext uri="{147F2762-F138-4A5C-976F-8EAC2B608ADB}">
                  <a16:predDERef xmlns:a16="http://schemas.microsoft.com/office/drawing/2014/main" pred="{0BE6ADA7-1694-9246-5453-A91A86F34CF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2795760" y="2315160"/>
              <a:ext cx="3204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496074</xdr:colOff>
      <xdr:row>21</xdr:row>
      <xdr:rowOff>17124</xdr:rowOff>
    </xdr:from>
    <xdr:to>
      <xdr:col>3</xdr:col>
      <xdr:colOff>306499</xdr:colOff>
      <xdr:row>26</xdr:row>
      <xdr:rowOff>19871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455" name="Ink 56">
              <a:extLst>
                <a:ext uri="{FF2B5EF4-FFF2-40B4-BE49-F238E27FC236}">
                  <a16:creationId xmlns:a16="http://schemas.microsoft.com/office/drawing/2014/main" id="{B914A473-C9FF-822D-9BFC-E13159A15540}"/>
                </a:ext>
                <a:ext uri="{147F2762-F138-4A5C-976F-8EAC2B608ADB}">
                  <a16:predDERef xmlns:a16="http://schemas.microsoft.com/office/drawing/2014/main" pred="{944035A5-8184-4EDD-7801-073CFF1FFC13}"/>
                </a:ext>
              </a:extLst>
            </xdr14:cNvPr>
            <xdr14:cNvContentPartPr/>
          </xdr14:nvContentPartPr>
          <xdr14:nvPr macro=""/>
          <xdr14:xfrm>
            <a:off x="1520268" y="4523576"/>
            <a:ext cx="1121392" cy="10269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914A473-C9FF-822D-9BFC-E13159A15540}"/>
                </a:ext>
                <a:ext uri="{147F2762-F138-4A5C-976F-8EAC2B608ADB}">
                  <a16:predDERef xmlns:a16="http://schemas.microsoft.com/office/drawing/2014/main" pred="{944035A5-8184-4EDD-7801-073CFF1FFC13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473466" y="1901100"/>
              <a:ext cx="1171827" cy="9544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541152</xdr:colOff>
      <xdr:row>30</xdr:row>
      <xdr:rowOff>28216</xdr:rowOff>
    </xdr:from>
    <xdr:to>
      <xdr:col>0</xdr:col>
      <xdr:colOff>678312</xdr:colOff>
      <xdr:row>31</xdr:row>
      <xdr:rowOff>91489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52D01737-8270-BC18-C46F-99CB051CF1B6}"/>
                </a:ext>
                <a:ext uri="{147F2762-F138-4A5C-976F-8EAC2B608ADB}">
                  <a16:predDERef xmlns:a16="http://schemas.microsoft.com/office/drawing/2014/main" pred="{B914A473-C9FF-822D-9BFC-E13159A15540}"/>
                </a:ext>
              </a:extLst>
            </xdr14:cNvPr>
            <xdr14:cNvContentPartPr/>
          </xdr14:nvContentPartPr>
          <xdr14:nvPr macro=""/>
          <xdr14:xfrm>
            <a:off x="541152" y="6378216"/>
            <a:ext cx="137160" cy="268112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52D01737-8270-BC18-C46F-99CB051CF1B6}"/>
                </a:ext>
                <a:ext uri="{147F2762-F138-4A5C-976F-8EAC2B608ADB}">
                  <a16:predDERef xmlns:a16="http://schemas.microsoft.com/office/drawing/2014/main" pred="{B914A473-C9FF-822D-9BFC-E13159A1554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571680" y="3617280"/>
              <a:ext cx="15840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720072</xdr:colOff>
      <xdr:row>31</xdr:row>
      <xdr:rowOff>17689</xdr:rowOff>
    </xdr:from>
    <xdr:to>
      <xdr:col>0</xdr:col>
      <xdr:colOff>790632</xdr:colOff>
      <xdr:row>32</xdr:row>
      <xdr:rowOff>13642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23A357DD-5BD7-ABBA-F534-5C45527A6AD6}"/>
                </a:ext>
                <a:ext uri="{147F2762-F138-4A5C-976F-8EAC2B608ADB}">
                  <a16:predDERef xmlns:a16="http://schemas.microsoft.com/office/drawing/2014/main" pred="{52D01737-8270-BC18-C46F-99CB051CF1B6}"/>
                </a:ext>
              </a:extLst>
            </xdr14:cNvPr>
            <xdr14:cNvContentPartPr/>
          </xdr14:nvContentPartPr>
          <xdr14:nvPr macro=""/>
          <xdr14:xfrm>
            <a:off x="720072" y="6572528"/>
            <a:ext cx="70560" cy="200791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23A357DD-5BD7-ABBA-F534-5C45527A6AD6}"/>
                </a:ext>
                <a:ext uri="{147F2762-F138-4A5C-976F-8EAC2B608ADB}">
                  <a16:predDERef xmlns:a16="http://schemas.microsoft.com/office/drawing/2014/main" pred="{52D01737-8270-BC18-C46F-99CB051CF1B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750600" y="3796200"/>
              <a:ext cx="91800" cy="20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986388</xdr:colOff>
      <xdr:row>30</xdr:row>
      <xdr:rowOff>94456</xdr:rowOff>
    </xdr:from>
    <xdr:to>
      <xdr:col>1</xdr:col>
      <xdr:colOff>32754</xdr:colOff>
      <xdr:row>30</xdr:row>
      <xdr:rowOff>126496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233197B5-1B6E-E8B2-8BDA-7AC32A80EBDB}"/>
                </a:ext>
                <a:ext uri="{147F2762-F138-4A5C-976F-8EAC2B608ADB}">
                  <a16:predDERef xmlns:a16="http://schemas.microsoft.com/office/drawing/2014/main" pred="{23A357DD-5BD7-ABBA-F534-5C45527A6AD6}"/>
                </a:ext>
              </a:extLst>
            </xdr14:cNvPr>
            <xdr14:cNvContentPartPr/>
          </xdr14:nvContentPartPr>
          <xdr14:nvPr macro=""/>
          <xdr14:xfrm>
            <a:off x="986388" y="6444456"/>
            <a:ext cx="70560" cy="320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233197B5-1B6E-E8B2-8BDA-7AC32A80EBDB}"/>
                </a:ext>
                <a:ext uri="{147F2762-F138-4A5C-976F-8EAC2B608ADB}">
                  <a16:predDERef xmlns:a16="http://schemas.microsoft.com/office/drawing/2014/main" pred="{23A357DD-5BD7-ABBA-F534-5C45527A6AD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39960" y="3683520"/>
              <a:ext cx="9180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1014468</xdr:colOff>
      <xdr:row>30</xdr:row>
      <xdr:rowOff>129736</xdr:rowOff>
    </xdr:from>
    <xdr:to>
      <xdr:col>1</xdr:col>
      <xdr:colOff>53634</xdr:colOff>
      <xdr:row>30</xdr:row>
      <xdr:rowOff>154576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489DCCA6-24D5-B0FA-E7D0-4871BA58F968}"/>
                </a:ext>
                <a:ext uri="{147F2762-F138-4A5C-976F-8EAC2B608ADB}">
                  <a16:predDERef xmlns:a16="http://schemas.microsoft.com/office/drawing/2014/main" pred="{233197B5-1B6E-E8B2-8BDA-7AC32A80EBDB}"/>
                </a:ext>
              </a:extLst>
            </xdr14:cNvPr>
            <xdr14:cNvContentPartPr/>
          </xdr14:nvContentPartPr>
          <xdr14:nvPr macro=""/>
          <xdr14:xfrm>
            <a:off x="1014468" y="6479736"/>
            <a:ext cx="63360" cy="248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489DCCA6-24D5-B0FA-E7D0-4871BA58F968}"/>
                </a:ext>
                <a:ext uri="{147F2762-F138-4A5C-976F-8EAC2B608ADB}">
                  <a16:predDERef xmlns:a16="http://schemas.microsoft.com/office/drawing/2014/main" pred="{233197B5-1B6E-E8B2-8BDA-7AC32A80EBD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68040" y="3718440"/>
              <a:ext cx="8460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267474</xdr:colOff>
      <xdr:row>29</xdr:row>
      <xdr:rowOff>152145</xdr:rowOff>
    </xdr:from>
    <xdr:to>
      <xdr:col>1</xdr:col>
      <xdr:colOff>390594</xdr:colOff>
      <xdr:row>30</xdr:row>
      <xdr:rowOff>171856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C8DA530-5340-1613-E024-CC5BAE3A5CBA}"/>
                </a:ext>
                <a:ext uri="{147F2762-F138-4A5C-976F-8EAC2B608ADB}">
                  <a16:predDERef xmlns:a16="http://schemas.microsoft.com/office/drawing/2014/main" pred="{489DCCA6-24D5-B0FA-E7D0-4871BA58F968}"/>
                </a:ext>
              </a:extLst>
            </xdr14:cNvPr>
            <xdr14:cNvContentPartPr/>
          </xdr14:nvContentPartPr>
          <xdr14:nvPr macro=""/>
          <xdr14:xfrm>
            <a:off x="1291668" y="6297306"/>
            <a:ext cx="123120" cy="22455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8C8DA530-5340-1613-E024-CC5BAE3A5CBA}"/>
                </a:ext>
                <a:ext uri="{147F2762-F138-4A5C-976F-8EAC2B608ADB}">
                  <a16:predDERef xmlns:a16="http://schemas.microsoft.com/office/drawing/2014/main" pred="{489DCCA6-24D5-B0FA-E7D0-4871BA58F96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45240" y="3551760"/>
              <a:ext cx="14436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411474</xdr:colOff>
      <xdr:row>30</xdr:row>
      <xdr:rowOff>87616</xdr:rowOff>
    </xdr:from>
    <xdr:to>
      <xdr:col>1</xdr:col>
      <xdr:colOff>457554</xdr:colOff>
      <xdr:row>31</xdr:row>
      <xdr:rowOff>21289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E0123DA6-E758-BD51-1543-46DBCD02EF65}"/>
                </a:ext>
                <a:ext uri="{147F2762-F138-4A5C-976F-8EAC2B608ADB}">
                  <a16:predDERef xmlns:a16="http://schemas.microsoft.com/office/drawing/2014/main" pred="{8C8DA530-5340-1613-E024-CC5BAE3A5CBA}"/>
                </a:ext>
              </a:extLst>
            </xdr14:cNvPr>
            <xdr14:cNvContentPartPr/>
          </xdr14:nvContentPartPr>
          <xdr14:nvPr macro=""/>
          <xdr14:xfrm>
            <a:off x="1435668" y="6437616"/>
            <a:ext cx="46080" cy="138512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E0123DA6-E758-BD51-1543-46DBCD02EF65}"/>
                </a:ext>
                <a:ext uri="{147F2762-F138-4A5C-976F-8EAC2B608ADB}">
                  <a16:predDERef xmlns:a16="http://schemas.microsoft.com/office/drawing/2014/main" pred="{8C8DA530-5340-1613-E024-CC5BAE3A5CB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88880" y="3676320"/>
              <a:ext cx="6732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481674</xdr:colOff>
      <xdr:row>30</xdr:row>
      <xdr:rowOff>94456</xdr:rowOff>
    </xdr:from>
    <xdr:to>
      <xdr:col>2</xdr:col>
      <xdr:colOff>67792</xdr:colOff>
      <xdr:row>31</xdr:row>
      <xdr:rowOff>69889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558E62C1-E3AD-1B37-2F73-DD8EF92C4753}"/>
                </a:ext>
                <a:ext uri="{147F2762-F138-4A5C-976F-8EAC2B608ADB}">
                  <a16:predDERef xmlns:a16="http://schemas.microsoft.com/office/drawing/2014/main" pred="{E0123DA6-E758-BD51-1543-46DBCD02EF65}"/>
                </a:ext>
              </a:extLst>
            </xdr14:cNvPr>
            <xdr14:cNvContentPartPr/>
          </xdr14:nvContentPartPr>
          <xdr14:nvPr macro=""/>
          <xdr14:xfrm>
            <a:off x="1505868" y="6444456"/>
            <a:ext cx="241601" cy="180272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558E62C1-E3AD-1B37-2F73-DD8EF92C4753}"/>
                </a:ext>
                <a:ext uri="{147F2762-F138-4A5C-976F-8EAC2B608ADB}">
                  <a16:predDERef xmlns:a16="http://schemas.microsoft.com/office/drawing/2014/main" pred="{E0123DA6-E758-BD51-1543-46DBCD02EF6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459080" y="3683520"/>
              <a:ext cx="217800" cy="18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397552</xdr:colOff>
      <xdr:row>28</xdr:row>
      <xdr:rowOff>151151</xdr:rowOff>
    </xdr:from>
    <xdr:to>
      <xdr:col>2</xdr:col>
      <xdr:colOff>514192</xdr:colOff>
      <xdr:row>30</xdr:row>
      <xdr:rowOff>3736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A21158C4-A80D-36EA-5990-1620714AF416}"/>
                </a:ext>
                <a:ext uri="{147F2762-F138-4A5C-976F-8EAC2B608ADB}">
                  <a16:predDERef xmlns:a16="http://schemas.microsoft.com/office/drawing/2014/main" pred="{558E62C1-E3AD-1B37-2F73-DD8EF92C4753}"/>
                </a:ext>
              </a:extLst>
            </xdr14:cNvPr>
            <xdr14:cNvContentPartPr/>
          </xdr14:nvContentPartPr>
          <xdr14:nvPr macro=""/>
          <xdr14:xfrm>
            <a:off x="2077229" y="6091474"/>
            <a:ext cx="116640" cy="262262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A21158C4-A80D-36EA-5990-1620714AF416}"/>
                </a:ext>
                <a:ext uri="{147F2762-F138-4A5C-976F-8EAC2B608ADB}">
                  <a16:predDERef xmlns:a16="http://schemas.microsoft.com/office/drawing/2014/main" pred="{558E62C1-E3AD-1B37-2F73-DD8EF92C475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985400" y="3360960"/>
              <a:ext cx="13788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215032</xdr:colOff>
      <xdr:row>30</xdr:row>
      <xdr:rowOff>35056</xdr:rowOff>
    </xdr:from>
    <xdr:to>
      <xdr:col>3</xdr:col>
      <xdr:colOff>169790</xdr:colOff>
      <xdr:row>30</xdr:row>
      <xdr:rowOff>49456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1F4182EC-5F1A-2B9B-45BD-97D1C5980784}"/>
                </a:ext>
                <a:ext uri="{147F2762-F138-4A5C-976F-8EAC2B608ADB}">
                  <a16:predDERef xmlns:a16="http://schemas.microsoft.com/office/drawing/2014/main" pred="{A21158C4-A80D-36EA-5990-1620714AF416}"/>
                </a:ext>
              </a:extLst>
            </xdr14:cNvPr>
            <xdr14:cNvContentPartPr/>
          </xdr14:nvContentPartPr>
          <xdr14:nvPr macro=""/>
          <xdr14:xfrm>
            <a:off x="1894709" y="6385056"/>
            <a:ext cx="610242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1F4182EC-5F1A-2B9B-45BD-97D1C5980784}"/>
                </a:ext>
                <a:ext uri="{147F2762-F138-4A5C-976F-8EAC2B608ADB}">
                  <a16:predDERef xmlns:a16="http://schemas.microsoft.com/office/drawing/2014/main" pred="{A21158C4-A80D-36EA-5990-1620714AF41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802880" y="3623760"/>
              <a:ext cx="58644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263992</xdr:colOff>
      <xdr:row>30</xdr:row>
      <xdr:rowOff>161416</xdr:rowOff>
    </xdr:from>
    <xdr:to>
      <xdr:col>2</xdr:col>
      <xdr:colOff>394312</xdr:colOff>
      <xdr:row>31</xdr:row>
      <xdr:rowOff>171409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EBA98060-2148-A982-0B82-0DBE296CD8C1}"/>
                </a:ext>
                <a:ext uri="{147F2762-F138-4A5C-976F-8EAC2B608ADB}">
                  <a16:predDERef xmlns:a16="http://schemas.microsoft.com/office/drawing/2014/main" pred="{1F4182EC-5F1A-2B9B-45BD-97D1C5980784}"/>
                </a:ext>
              </a:extLst>
            </xdr14:cNvPr>
            <xdr14:cNvContentPartPr/>
          </xdr14:nvContentPartPr>
          <xdr14:nvPr macro=""/>
          <xdr14:xfrm>
            <a:off x="1943669" y="6511416"/>
            <a:ext cx="130320" cy="214832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EBA98060-2148-A982-0B82-0DBE296CD8C1}"/>
                </a:ext>
                <a:ext uri="{147F2762-F138-4A5C-976F-8EAC2B608ADB}">
                  <a16:predDERef xmlns:a16="http://schemas.microsoft.com/office/drawing/2014/main" pred="{1F4182EC-5F1A-2B9B-45BD-97D1C5980784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852200" y="3750480"/>
              <a:ext cx="15156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418432</xdr:colOff>
      <xdr:row>31</xdr:row>
      <xdr:rowOff>66649</xdr:rowOff>
    </xdr:from>
    <xdr:to>
      <xdr:col>2</xdr:col>
      <xdr:colOff>506632</xdr:colOff>
      <xdr:row>31</xdr:row>
      <xdr:rowOff>98689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A2A5DD3-EF0B-C438-7064-B4FB2F1FD568}"/>
                </a:ext>
                <a:ext uri="{147F2762-F138-4A5C-976F-8EAC2B608ADB}">
                  <a16:predDERef xmlns:a16="http://schemas.microsoft.com/office/drawing/2014/main" pred="{EBA98060-2148-A982-0B82-0DBE296CD8C1}"/>
                </a:ext>
              </a:extLst>
            </xdr14:cNvPr>
            <xdr14:cNvContentPartPr/>
          </xdr14:nvContentPartPr>
          <xdr14:nvPr macro=""/>
          <xdr14:xfrm>
            <a:off x="2098109" y="6621488"/>
            <a:ext cx="88200" cy="320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A2A5DD3-EF0B-C438-7064-B4FB2F1FD568}"/>
                </a:ext>
                <a:ext uri="{147F2762-F138-4A5C-976F-8EAC2B608ADB}">
                  <a16:predDERef xmlns:a16="http://schemas.microsoft.com/office/drawing/2014/main" pred="{EBA98060-2148-A982-0B82-0DBE296CD8C1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2006640" y="3844800"/>
              <a:ext cx="109440" cy="5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470992</xdr:colOff>
      <xdr:row>31</xdr:row>
      <xdr:rowOff>24529</xdr:rowOff>
    </xdr:from>
    <xdr:to>
      <xdr:col>2</xdr:col>
      <xdr:colOff>488992</xdr:colOff>
      <xdr:row>31</xdr:row>
      <xdr:rowOff>160249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37C1E4B-B3B1-6FBC-6A37-C9E1B0C3F1C8}"/>
                </a:ext>
                <a:ext uri="{147F2762-F138-4A5C-976F-8EAC2B608ADB}">
                  <a16:predDERef xmlns:a16="http://schemas.microsoft.com/office/drawing/2014/main" pred="{EA2A5DD3-EF0B-C438-7064-B4FB2F1FD568}"/>
                </a:ext>
              </a:extLst>
            </xdr14:cNvPr>
            <xdr14:cNvContentPartPr/>
          </xdr14:nvContentPartPr>
          <xdr14:nvPr macro=""/>
          <xdr14:xfrm>
            <a:off x="2150669" y="6579368"/>
            <a:ext cx="18000" cy="13572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37C1E4B-B3B1-6FBC-6A37-C9E1B0C3F1C8}"/>
                </a:ext>
                <a:ext uri="{147F2762-F138-4A5C-976F-8EAC2B608ADB}">
                  <a16:predDERef xmlns:a16="http://schemas.microsoft.com/office/drawing/2014/main" pred="{EA2A5DD3-EF0B-C438-7064-B4FB2F1FD568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2059200" y="3802680"/>
              <a:ext cx="392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562432</xdr:colOff>
      <xdr:row>30</xdr:row>
      <xdr:rowOff>133696</xdr:rowOff>
    </xdr:from>
    <xdr:to>
      <xdr:col>3</xdr:col>
      <xdr:colOff>54230</xdr:colOff>
      <xdr:row>31</xdr:row>
      <xdr:rowOff>151249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FFA30F6C-8296-5AA9-AFA5-337DD529E1CF}"/>
                </a:ext>
                <a:ext uri="{147F2762-F138-4A5C-976F-8EAC2B608ADB}">
                  <a16:predDERef xmlns:a16="http://schemas.microsoft.com/office/drawing/2014/main" pred="{337C1E4B-B3B1-6FBC-6A37-C9E1B0C3F1C8}"/>
                </a:ext>
              </a:extLst>
            </xdr14:cNvPr>
            <xdr14:cNvContentPartPr/>
          </xdr14:nvContentPartPr>
          <xdr14:nvPr macro=""/>
          <xdr14:xfrm>
            <a:off x="2242109" y="6483696"/>
            <a:ext cx="147282" cy="222392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FFA30F6C-8296-5AA9-AFA5-337DD529E1CF}"/>
                </a:ext>
                <a:ext uri="{147F2762-F138-4A5C-976F-8EAC2B608ADB}">
                  <a16:predDERef xmlns:a16="http://schemas.microsoft.com/office/drawing/2014/main" pred="{337C1E4B-B3B1-6FBC-6A37-C9E1B0C3F1C8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2150280" y="3722400"/>
              <a:ext cx="12348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88790</xdr:colOff>
      <xdr:row>31</xdr:row>
      <xdr:rowOff>38569</xdr:rowOff>
    </xdr:from>
    <xdr:to>
      <xdr:col>3</xdr:col>
      <xdr:colOff>159350</xdr:colOff>
      <xdr:row>31</xdr:row>
      <xdr:rowOff>115969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F78D8C4-1577-27CE-7D26-A3D31704A7AD}"/>
                </a:ext>
                <a:ext uri="{147F2762-F138-4A5C-976F-8EAC2B608ADB}">
                  <a16:predDERef xmlns:a16="http://schemas.microsoft.com/office/drawing/2014/main" pred="{FFA30F6C-8296-5AA9-AFA5-337DD529E1CF}"/>
                </a:ext>
              </a:extLst>
            </xdr14:cNvPr>
            <xdr14:cNvContentPartPr/>
          </xdr14:nvContentPartPr>
          <xdr14:nvPr macro=""/>
          <xdr14:xfrm>
            <a:off x="2423951" y="6593408"/>
            <a:ext cx="70560" cy="774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F78D8C4-1577-27CE-7D26-A3D31704A7AD}"/>
                </a:ext>
                <a:ext uri="{147F2762-F138-4A5C-976F-8EAC2B608ADB}">
                  <a16:predDERef xmlns:a16="http://schemas.microsoft.com/office/drawing/2014/main" pred="{FFA30F6C-8296-5AA9-AFA5-337DD529E1CF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2287080" y="3816720"/>
              <a:ext cx="9180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535392</xdr:colOff>
      <xdr:row>33</xdr:row>
      <xdr:rowOff>101280</xdr:rowOff>
    </xdr:from>
    <xdr:to>
      <xdr:col>0</xdr:col>
      <xdr:colOff>675432</xdr:colOff>
      <xdr:row>34</xdr:row>
      <xdr:rowOff>124619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469B2DC7-E58B-6EDD-E226-7EC1ACD19141}"/>
                </a:ext>
                <a:ext uri="{147F2762-F138-4A5C-976F-8EAC2B608ADB}">
                  <a16:predDERef xmlns:a16="http://schemas.microsoft.com/office/drawing/2014/main" pred="{9F78D8C4-1577-27CE-7D26-A3D31704A7AD}"/>
                </a:ext>
              </a:extLst>
            </xdr14:cNvPr>
            <xdr14:cNvContentPartPr/>
          </xdr14:nvContentPartPr>
          <xdr14:nvPr macro=""/>
          <xdr14:xfrm>
            <a:off x="535392" y="7065796"/>
            <a:ext cx="140040" cy="228178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469B2DC7-E58B-6EDD-E226-7EC1ACD19141}"/>
                </a:ext>
                <a:ext uri="{147F2762-F138-4A5C-976F-8EAC2B608ADB}">
                  <a16:predDERef xmlns:a16="http://schemas.microsoft.com/office/drawing/2014/main" pred="{9F78D8C4-1577-27CE-7D26-A3D31704A7AD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565920" y="4281840"/>
              <a:ext cx="161280" cy="23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690552</xdr:colOff>
      <xdr:row>34</xdr:row>
      <xdr:rowOff>42899</xdr:rowOff>
    </xdr:from>
    <xdr:to>
      <xdr:col>0</xdr:col>
      <xdr:colOff>762192</xdr:colOff>
      <xdr:row>34</xdr:row>
      <xdr:rowOff>170339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6CAABE61-1E06-8C8D-6B43-D61C0BACC1C2}"/>
                </a:ext>
                <a:ext uri="{147F2762-F138-4A5C-976F-8EAC2B608ADB}">
                  <a16:predDERef xmlns:a16="http://schemas.microsoft.com/office/drawing/2014/main" pred="{469B2DC7-E58B-6EDD-E226-7EC1ACD19141}"/>
                </a:ext>
              </a:extLst>
            </xdr14:cNvPr>
            <xdr14:cNvContentPartPr/>
          </xdr14:nvContentPartPr>
          <xdr14:nvPr macro=""/>
          <xdr14:xfrm>
            <a:off x="690552" y="7212254"/>
            <a:ext cx="71640" cy="1274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6CAABE61-1E06-8C8D-6B43-D61C0BACC1C2}"/>
                </a:ext>
                <a:ext uri="{147F2762-F138-4A5C-976F-8EAC2B608ADB}">
                  <a16:predDERef xmlns:a16="http://schemas.microsoft.com/office/drawing/2014/main" pred="{469B2DC7-E58B-6EDD-E226-7EC1ACD1914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720720" y="4413960"/>
              <a:ext cx="9288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477432</xdr:colOff>
      <xdr:row>34</xdr:row>
      <xdr:rowOff>167459</xdr:rowOff>
    </xdr:from>
    <xdr:to>
      <xdr:col>0</xdr:col>
      <xdr:colOff>756792</xdr:colOff>
      <xdr:row>35</xdr:row>
      <xdr:rowOff>2879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F3E6DE2A-4059-1038-5ECB-E6E896101A77}"/>
                </a:ext>
                <a:ext uri="{147F2762-F138-4A5C-976F-8EAC2B608ADB}">
                  <a16:predDERef xmlns:a16="http://schemas.microsoft.com/office/drawing/2014/main" pred="{6CAABE61-1E06-8C8D-6B43-D61C0BACC1C2}"/>
                </a:ext>
              </a:extLst>
            </xdr14:cNvPr>
            <xdr14:cNvContentPartPr/>
          </xdr14:nvContentPartPr>
          <xdr14:nvPr macro=""/>
          <xdr14:xfrm>
            <a:off x="477432" y="7336814"/>
            <a:ext cx="279360" cy="40259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F3E6DE2A-4059-1038-5ECB-E6E896101A77}"/>
                </a:ext>
                <a:ext uri="{147F2762-F138-4A5C-976F-8EAC2B608ADB}">
                  <a16:predDERef xmlns:a16="http://schemas.microsoft.com/office/drawing/2014/main" pred="{6CAABE61-1E06-8C8D-6B43-D61C0BACC1C2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507600" y="4538520"/>
              <a:ext cx="30060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357552</xdr:colOff>
      <xdr:row>33</xdr:row>
      <xdr:rowOff>121800</xdr:rowOff>
    </xdr:from>
    <xdr:to>
      <xdr:col>0</xdr:col>
      <xdr:colOff>492552</xdr:colOff>
      <xdr:row>34</xdr:row>
      <xdr:rowOff>96899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9D34D6F4-04E6-3087-6309-5283FF99CBE2}"/>
                </a:ext>
                <a:ext uri="{147F2762-F138-4A5C-976F-8EAC2B608ADB}">
                  <a16:predDERef xmlns:a16="http://schemas.microsoft.com/office/drawing/2014/main" pred="{F3E6DE2A-4059-1038-5ECB-E6E896101A77}"/>
                </a:ext>
              </a:extLst>
            </xdr14:cNvPr>
            <xdr14:cNvContentPartPr/>
          </xdr14:nvContentPartPr>
          <xdr14:nvPr macro=""/>
          <xdr14:xfrm>
            <a:off x="357552" y="7086316"/>
            <a:ext cx="135000" cy="179938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9D34D6F4-04E6-3087-6309-5283FF99CBE2}"/>
                </a:ext>
                <a:ext uri="{147F2762-F138-4A5C-976F-8EAC2B608ADB}">
                  <a16:predDERef xmlns:a16="http://schemas.microsoft.com/office/drawing/2014/main" pred="{F3E6DE2A-4059-1038-5ECB-E6E896101A77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388080" y="4302000"/>
              <a:ext cx="1562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375552</xdr:colOff>
      <xdr:row>34</xdr:row>
      <xdr:rowOff>187619</xdr:rowOff>
    </xdr:from>
    <xdr:to>
      <xdr:col>0</xdr:col>
      <xdr:colOff>558792</xdr:colOff>
      <xdr:row>35</xdr:row>
      <xdr:rowOff>5039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E1521BD-E2FB-444F-B0BB-11BC007E66F6}"/>
                </a:ext>
                <a:ext uri="{147F2762-F138-4A5C-976F-8EAC2B608ADB}">
                  <a16:predDERef xmlns:a16="http://schemas.microsoft.com/office/drawing/2014/main" pred="{9D34D6F4-04E6-3087-6309-5283FF99CBE2}"/>
                </a:ext>
              </a:extLst>
            </xdr14:cNvPr>
            <xdr14:cNvContentPartPr/>
          </xdr14:nvContentPartPr>
          <xdr14:nvPr macro=""/>
          <xdr14:xfrm>
            <a:off x="375552" y="7356974"/>
            <a:ext cx="183240" cy="22259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E1521BD-E2FB-444F-B0BB-11BC007E66F6}"/>
                </a:ext>
                <a:ext uri="{147F2762-F138-4A5C-976F-8EAC2B608ADB}">
                  <a16:predDERef xmlns:a16="http://schemas.microsoft.com/office/drawing/2014/main" pred="{9D34D6F4-04E6-3087-6309-5283FF99CBE2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405720" y="4558680"/>
              <a:ext cx="20448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482112</xdr:colOff>
      <xdr:row>35</xdr:row>
      <xdr:rowOff>73439</xdr:rowOff>
    </xdr:from>
    <xdr:to>
      <xdr:col>0</xdr:col>
      <xdr:colOff>591552</xdr:colOff>
      <xdr:row>36</xdr:row>
      <xdr:rowOff>34500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F98200E9-B82E-932E-B14E-170A22C65260}"/>
                </a:ext>
                <a:ext uri="{147F2762-F138-4A5C-976F-8EAC2B608ADB}">
                  <a16:predDERef xmlns:a16="http://schemas.microsoft.com/office/drawing/2014/main" pred="{BE1521BD-E2FB-444F-B0BB-11BC007E66F6}"/>
                </a:ext>
              </a:extLst>
            </xdr14:cNvPr>
            <xdr14:cNvContentPartPr/>
          </xdr14:nvContentPartPr>
          <xdr14:nvPr macro=""/>
          <xdr14:xfrm>
            <a:off x="482112" y="7447633"/>
            <a:ext cx="109440" cy="165899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F98200E9-B82E-932E-B14E-170A22C65260}"/>
                </a:ext>
                <a:ext uri="{147F2762-F138-4A5C-976F-8EAC2B608ADB}">
                  <a16:predDERef xmlns:a16="http://schemas.microsoft.com/office/drawing/2014/main" pred="{BE1521BD-E2FB-444F-B0BB-11BC007E66F6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512280" y="4635000"/>
              <a:ext cx="13068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604152</xdr:colOff>
      <xdr:row>35</xdr:row>
      <xdr:rowOff>159839</xdr:rowOff>
    </xdr:from>
    <xdr:to>
      <xdr:col>0</xdr:col>
      <xdr:colOff>667872</xdr:colOff>
      <xdr:row>36</xdr:row>
      <xdr:rowOff>120900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C31CB2CE-FB7E-A468-69AE-CBE2CACB5B67}"/>
                </a:ext>
                <a:ext uri="{147F2762-F138-4A5C-976F-8EAC2B608ADB}">
                  <a16:predDERef xmlns:a16="http://schemas.microsoft.com/office/drawing/2014/main" pred="{F98200E9-B82E-932E-B14E-170A22C65260}"/>
                </a:ext>
              </a:extLst>
            </xdr14:cNvPr>
            <xdr14:cNvContentPartPr/>
          </xdr14:nvContentPartPr>
          <xdr14:nvPr macro=""/>
          <xdr14:xfrm>
            <a:off x="604152" y="7534033"/>
            <a:ext cx="63720" cy="165899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C31CB2CE-FB7E-A468-69AE-CBE2CACB5B67}"/>
                </a:ext>
                <a:ext uri="{147F2762-F138-4A5C-976F-8EAC2B608ADB}">
                  <a16:predDERef xmlns:a16="http://schemas.microsoft.com/office/drawing/2014/main" pred="{F98200E9-B82E-932E-B14E-170A22C6526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634320" y="4721400"/>
              <a:ext cx="8496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898632</xdr:colOff>
      <xdr:row>34</xdr:row>
      <xdr:rowOff>136859</xdr:rowOff>
    </xdr:from>
    <xdr:to>
      <xdr:col>1</xdr:col>
      <xdr:colOff>16012</xdr:colOff>
      <xdr:row>34</xdr:row>
      <xdr:rowOff>144779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CAE327B9-4100-E0B7-9D83-E2E4DAC8FD3E}"/>
                </a:ext>
                <a:ext uri="{147F2762-F138-4A5C-976F-8EAC2B608ADB}">
                  <a16:predDERef xmlns:a16="http://schemas.microsoft.com/office/drawing/2014/main" pred="{C31CB2CE-FB7E-A468-69AE-CBE2CACB5B67}"/>
                </a:ext>
              </a:extLst>
            </xdr14:cNvPr>
            <xdr14:cNvContentPartPr/>
          </xdr14:nvContentPartPr>
          <xdr14:nvPr macro=""/>
          <xdr14:xfrm>
            <a:off x="898632" y="7306214"/>
            <a:ext cx="141574" cy="79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CAE327B9-4100-E0B7-9D83-E2E4DAC8FD3E}"/>
                </a:ext>
                <a:ext uri="{147F2762-F138-4A5C-976F-8EAC2B608ADB}">
                  <a16:predDERef xmlns:a16="http://schemas.microsoft.com/office/drawing/2014/main" pred="{C31CB2CE-FB7E-A468-69AE-CBE2CACB5B67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29160" y="4507920"/>
              <a:ext cx="8604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906192</xdr:colOff>
      <xdr:row>35</xdr:row>
      <xdr:rowOff>17639</xdr:rowOff>
    </xdr:from>
    <xdr:to>
      <xdr:col>1</xdr:col>
      <xdr:colOff>17452</xdr:colOff>
      <xdr:row>35</xdr:row>
      <xdr:rowOff>28079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EF1F6F7F-C36C-9F09-F6B2-A1CD536AE5D5}"/>
                </a:ext>
                <a:ext uri="{147F2762-F138-4A5C-976F-8EAC2B608ADB}">
                  <a16:predDERef xmlns:a16="http://schemas.microsoft.com/office/drawing/2014/main" pred="{CAE327B9-4100-E0B7-9D83-E2E4DAC8FD3E}"/>
                </a:ext>
              </a:extLst>
            </xdr14:cNvPr>
            <xdr14:cNvContentPartPr/>
          </xdr14:nvContentPartPr>
          <xdr14:nvPr macro=""/>
          <xdr14:xfrm>
            <a:off x="906192" y="7391833"/>
            <a:ext cx="135454" cy="104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EF1F6F7F-C36C-9F09-F6B2-A1CD536AE5D5}"/>
                </a:ext>
                <a:ext uri="{147F2762-F138-4A5C-976F-8EAC2B608ADB}">
                  <a16:predDERef xmlns:a16="http://schemas.microsoft.com/office/drawing/2014/main" pred="{CAE327B9-4100-E0B7-9D83-E2E4DAC8FD3E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936720" y="4578840"/>
              <a:ext cx="7992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220492</xdr:colOff>
      <xdr:row>33</xdr:row>
      <xdr:rowOff>93720</xdr:rowOff>
    </xdr:from>
    <xdr:to>
      <xdr:col>1</xdr:col>
      <xdr:colOff>324892</xdr:colOff>
      <xdr:row>36</xdr:row>
      <xdr:rowOff>83820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A8332FAA-B342-5FE3-7CBA-012A92A56F89}"/>
                </a:ext>
                <a:ext uri="{147F2762-F138-4A5C-976F-8EAC2B608ADB}">
                  <a16:predDERef xmlns:a16="http://schemas.microsoft.com/office/drawing/2014/main" pred="{EF1F6F7F-C36C-9F09-F6B2-A1CD536AE5D5}"/>
                </a:ext>
              </a:extLst>
            </xdr14:cNvPr>
            <xdr14:cNvContentPartPr/>
          </xdr14:nvContentPartPr>
          <xdr14:nvPr macro=""/>
          <xdr14:xfrm>
            <a:off x="1244686" y="7058236"/>
            <a:ext cx="104400" cy="604616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A8332FAA-B342-5FE3-7CBA-012A92A56F89}"/>
                </a:ext>
                <a:ext uri="{147F2762-F138-4A5C-976F-8EAC2B608ADB}">
                  <a16:predDERef xmlns:a16="http://schemas.microsoft.com/office/drawing/2014/main" pred="{EF1F6F7F-C36C-9F09-F6B2-A1CD536AE5D5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198080" y="4274280"/>
              <a:ext cx="125640" cy="58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454492</xdr:colOff>
      <xdr:row>33</xdr:row>
      <xdr:rowOff>93720</xdr:rowOff>
    </xdr:from>
    <xdr:to>
      <xdr:col>2</xdr:col>
      <xdr:colOff>2435</xdr:colOff>
      <xdr:row>34</xdr:row>
      <xdr:rowOff>93659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D51A981C-0A62-AD56-1FAA-BAC00C10F2C5}"/>
                </a:ext>
                <a:ext uri="{147F2762-F138-4A5C-976F-8EAC2B608ADB}">
                  <a16:predDERef xmlns:a16="http://schemas.microsoft.com/office/drawing/2014/main" pred="{A8332FAA-B342-5FE3-7CBA-012A92A56F89}"/>
                </a:ext>
              </a:extLst>
            </xdr14:cNvPr>
            <xdr14:cNvContentPartPr/>
          </xdr14:nvContentPartPr>
          <xdr14:nvPr macro=""/>
          <xdr14:xfrm>
            <a:off x="1478686" y="7058236"/>
            <a:ext cx="195643" cy="204778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D51A981C-0A62-AD56-1FAA-BAC00C10F2C5}"/>
                </a:ext>
                <a:ext uri="{147F2762-F138-4A5C-976F-8EAC2B608ADB}">
                  <a16:predDERef xmlns:a16="http://schemas.microsoft.com/office/drawing/2014/main" pred="{A8332FAA-B342-5FE3-7CBA-012A92A56F89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432080" y="4274280"/>
              <a:ext cx="1710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34972</xdr:colOff>
      <xdr:row>33</xdr:row>
      <xdr:rowOff>106680</xdr:rowOff>
    </xdr:from>
    <xdr:to>
      <xdr:col>2</xdr:col>
      <xdr:colOff>157372</xdr:colOff>
      <xdr:row>34</xdr:row>
      <xdr:rowOff>73859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063A15E9-16B5-EC44-D643-8EEE5B10606E}"/>
                </a:ext>
                <a:ext uri="{147F2762-F138-4A5C-976F-8EAC2B608ADB}">
                  <a16:predDERef xmlns:a16="http://schemas.microsoft.com/office/drawing/2014/main" pred="{D51A981C-0A62-AD56-1FAA-BAC00C10F2C5}"/>
                </a:ext>
              </a:extLst>
            </xdr14:cNvPr>
            <xdr14:cNvContentPartPr/>
          </xdr14:nvContentPartPr>
          <xdr14:nvPr macro=""/>
          <xdr14:xfrm>
            <a:off x="1714649" y="7071196"/>
            <a:ext cx="122400" cy="172018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063A15E9-16B5-EC44-D643-8EEE5B10606E}"/>
                </a:ext>
                <a:ext uri="{147F2762-F138-4A5C-976F-8EAC2B608ADB}">
                  <a16:predDERef xmlns:a16="http://schemas.microsoft.com/office/drawing/2014/main" pred="{D51A981C-0A62-AD56-1FAA-BAC00C10F2C5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622520" y="4286880"/>
              <a:ext cx="1436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141892</xdr:colOff>
      <xdr:row>33</xdr:row>
      <xdr:rowOff>175080</xdr:rowOff>
    </xdr:from>
    <xdr:to>
      <xdr:col>2</xdr:col>
      <xdr:colOff>198052</xdr:colOff>
      <xdr:row>34</xdr:row>
      <xdr:rowOff>88979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E67A40B3-4DD5-785F-404B-EE70779993DD}"/>
                </a:ext>
                <a:ext uri="{147F2762-F138-4A5C-976F-8EAC2B608ADB}">
                  <a16:predDERef xmlns:a16="http://schemas.microsoft.com/office/drawing/2014/main" pred="{063A15E9-16B5-EC44-D643-8EEE5B10606E}"/>
                </a:ext>
              </a:extLst>
            </xdr14:cNvPr>
            <xdr14:cNvContentPartPr/>
          </xdr14:nvContentPartPr>
          <xdr14:nvPr macro=""/>
          <xdr14:xfrm>
            <a:off x="1821569" y="7139596"/>
            <a:ext cx="56160" cy="118738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E67A40B3-4DD5-785F-404B-EE70779993DD}"/>
                </a:ext>
                <a:ext uri="{147F2762-F138-4A5C-976F-8EAC2B608ADB}">
                  <a16:predDERef xmlns:a16="http://schemas.microsoft.com/office/drawing/2014/main" pred="{063A15E9-16B5-EC44-D643-8EEE5B10606E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729080" y="4355640"/>
              <a:ext cx="7740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217852</xdr:colOff>
      <xdr:row>34</xdr:row>
      <xdr:rowOff>11219</xdr:rowOff>
    </xdr:from>
    <xdr:to>
      <xdr:col>2</xdr:col>
      <xdr:colOff>396052</xdr:colOff>
      <xdr:row>34</xdr:row>
      <xdr:rowOff>146939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99365922-5EC8-6AF1-0E5F-87F028E435DF}"/>
                </a:ext>
                <a:ext uri="{147F2762-F138-4A5C-976F-8EAC2B608ADB}">
                  <a16:predDERef xmlns:a16="http://schemas.microsoft.com/office/drawing/2014/main" pred="{E67A40B3-4DD5-785F-404B-EE70779993DD}"/>
                </a:ext>
              </a:extLst>
            </xdr14:cNvPr>
            <xdr14:cNvContentPartPr/>
          </xdr14:nvContentPartPr>
          <xdr14:nvPr macro=""/>
          <xdr14:xfrm>
            <a:off x="1897529" y="7180574"/>
            <a:ext cx="178200" cy="1357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99365922-5EC8-6AF1-0E5F-87F028E435DF}"/>
                </a:ext>
                <a:ext uri="{147F2762-F138-4A5C-976F-8EAC2B608ADB}">
                  <a16:predDERef xmlns:a16="http://schemas.microsoft.com/office/drawing/2014/main" pred="{E67A40B3-4DD5-785F-404B-EE70779993D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805400" y="4382280"/>
              <a:ext cx="19944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466732</xdr:colOff>
      <xdr:row>34</xdr:row>
      <xdr:rowOff>119219</xdr:rowOff>
    </xdr:from>
    <xdr:to>
      <xdr:col>2</xdr:col>
      <xdr:colOff>305332</xdr:colOff>
      <xdr:row>35</xdr:row>
      <xdr:rowOff>20519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56DFCBF-521D-F44A-13D2-A279FB010DBD}"/>
                </a:ext>
                <a:ext uri="{147F2762-F138-4A5C-976F-8EAC2B608ADB}">
                  <a16:predDERef xmlns:a16="http://schemas.microsoft.com/office/drawing/2014/main" pred="{99365922-5EC8-6AF1-0E5F-87F028E435DF}"/>
                </a:ext>
              </a:extLst>
            </xdr14:cNvPr>
            <xdr14:cNvContentPartPr/>
          </xdr14:nvContentPartPr>
          <xdr14:nvPr macro=""/>
          <xdr14:xfrm>
            <a:off x="1490926" y="7288574"/>
            <a:ext cx="494083" cy="106139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56DFCBF-521D-F44A-13D2-A279FB010DBD}"/>
                </a:ext>
                <a:ext uri="{147F2762-F138-4A5C-976F-8EAC2B608ADB}">
                  <a16:predDERef xmlns:a16="http://schemas.microsoft.com/office/drawing/2014/main" pred="{99365922-5EC8-6AF1-0E5F-87F028E435DF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444680" y="4489920"/>
              <a:ext cx="46944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459532</xdr:colOff>
      <xdr:row>35</xdr:row>
      <xdr:rowOff>104039</xdr:rowOff>
    </xdr:from>
    <xdr:to>
      <xdr:col>1</xdr:col>
      <xdr:colOff>589355</xdr:colOff>
      <xdr:row>36</xdr:row>
      <xdr:rowOff>61140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CD1AF0A5-0B53-BA16-841B-20148902CD95}"/>
                </a:ext>
                <a:ext uri="{147F2762-F138-4A5C-976F-8EAC2B608ADB}">
                  <a16:predDERef xmlns:a16="http://schemas.microsoft.com/office/drawing/2014/main" pred="{456DFCBF-521D-F44A-13D2-A279FB010DBD}"/>
                </a:ext>
              </a:extLst>
            </xdr14:cNvPr>
            <xdr14:cNvContentPartPr/>
          </xdr14:nvContentPartPr>
          <xdr14:nvPr macro=""/>
          <xdr14:xfrm>
            <a:off x="1483726" y="7478233"/>
            <a:ext cx="167923" cy="161939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CD1AF0A5-0B53-BA16-841B-20148902CD95}"/>
                </a:ext>
                <a:ext uri="{147F2762-F138-4A5C-976F-8EAC2B608ADB}">
                  <a16:predDERef xmlns:a16="http://schemas.microsoft.com/office/drawing/2014/main" pred="{456DFCBF-521D-F44A-13D2-A279FB010DBD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437120" y="4665240"/>
              <a:ext cx="14328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654815</xdr:colOff>
      <xdr:row>35</xdr:row>
      <xdr:rowOff>152279</xdr:rowOff>
    </xdr:from>
    <xdr:to>
      <xdr:col>2</xdr:col>
      <xdr:colOff>49372</xdr:colOff>
      <xdr:row>36</xdr:row>
      <xdr:rowOff>58620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DD88DD33-A6E5-2AE4-9C44-3270F4B335A0}"/>
                </a:ext>
                <a:ext uri="{147F2762-F138-4A5C-976F-8EAC2B608ADB}">
                  <a16:predDERef xmlns:a16="http://schemas.microsoft.com/office/drawing/2014/main" pred="{CD1AF0A5-0B53-BA16-841B-20148902CD95}"/>
                </a:ext>
              </a:extLst>
            </xdr14:cNvPr>
            <xdr14:cNvContentPartPr/>
          </xdr14:nvContentPartPr>
          <xdr14:nvPr macro=""/>
          <xdr14:xfrm>
            <a:off x="1679009" y="7526473"/>
            <a:ext cx="50040" cy="111179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DD88DD33-A6E5-2AE4-9C44-3270F4B335A0}"/>
                </a:ext>
                <a:ext uri="{147F2762-F138-4A5C-976F-8EAC2B608ADB}">
                  <a16:predDERef xmlns:a16="http://schemas.microsoft.com/office/drawing/2014/main" pred="{CD1AF0A5-0B53-BA16-841B-20148902CD95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586880" y="4713480"/>
              <a:ext cx="7128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85732</xdr:colOff>
      <xdr:row>35</xdr:row>
      <xdr:rowOff>177479</xdr:rowOff>
    </xdr:from>
    <xdr:to>
      <xdr:col>2</xdr:col>
      <xdr:colOff>278692</xdr:colOff>
      <xdr:row>36</xdr:row>
      <xdr:rowOff>114420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7F50B7B0-B76D-B6E6-B9FD-2C4E0239BE99}"/>
                </a:ext>
                <a:ext uri="{147F2762-F138-4A5C-976F-8EAC2B608ADB}">
                  <a16:predDERef xmlns:a16="http://schemas.microsoft.com/office/drawing/2014/main" pred="{DD88DD33-A6E5-2AE4-9C44-3270F4B335A0}"/>
                </a:ext>
              </a:extLst>
            </xdr14:cNvPr>
            <xdr14:cNvContentPartPr/>
          </xdr14:nvContentPartPr>
          <xdr14:nvPr macro=""/>
          <xdr14:xfrm>
            <a:off x="1765409" y="7551673"/>
            <a:ext cx="192960" cy="141779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7F50B7B0-B76D-B6E6-B9FD-2C4E0239BE99}"/>
                </a:ext>
                <a:ext uri="{147F2762-F138-4A5C-976F-8EAC2B608ADB}">
                  <a16:predDERef xmlns:a16="http://schemas.microsoft.com/office/drawing/2014/main" pred="{DD88DD33-A6E5-2AE4-9C44-3270F4B335A0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673280" y="4739040"/>
              <a:ext cx="2142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269092</xdr:colOff>
      <xdr:row>33</xdr:row>
      <xdr:rowOff>106680</xdr:rowOff>
    </xdr:from>
    <xdr:to>
      <xdr:col>1</xdr:col>
      <xdr:colOff>444412</xdr:colOff>
      <xdr:row>36</xdr:row>
      <xdr:rowOff>86700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B24FD4CB-7C86-C314-11F9-534C551B4B17}"/>
                </a:ext>
                <a:ext uri="{147F2762-F138-4A5C-976F-8EAC2B608ADB}">
                  <a16:predDERef xmlns:a16="http://schemas.microsoft.com/office/drawing/2014/main" pred="{7F50B7B0-B76D-B6E6-B9FD-2C4E0239BE99}"/>
                </a:ext>
              </a:extLst>
            </xdr14:cNvPr>
            <xdr14:cNvContentPartPr/>
          </xdr14:nvContentPartPr>
          <xdr14:nvPr macro=""/>
          <xdr14:xfrm>
            <a:off x="1293286" y="7071196"/>
            <a:ext cx="175320" cy="594536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B24FD4CB-7C86-C314-11F9-534C551B4B17}"/>
                </a:ext>
                <a:ext uri="{147F2762-F138-4A5C-976F-8EAC2B608ADB}">
                  <a16:predDERef xmlns:a16="http://schemas.microsoft.com/office/drawing/2014/main" pred="{7F50B7B0-B76D-B6E6-B9FD-2C4E0239BE99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246680" y="4286880"/>
              <a:ext cx="196560" cy="57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408292</xdr:colOff>
      <xdr:row>33</xdr:row>
      <xdr:rowOff>157440</xdr:rowOff>
    </xdr:from>
    <xdr:to>
      <xdr:col>2</xdr:col>
      <xdr:colOff>585996</xdr:colOff>
      <xdr:row>36</xdr:row>
      <xdr:rowOff>24420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C4D9130-BB2D-67C7-526A-B767F804AD3C}"/>
                </a:ext>
                <a:ext uri="{147F2762-F138-4A5C-976F-8EAC2B608ADB}">
                  <a16:predDERef xmlns:a16="http://schemas.microsoft.com/office/drawing/2014/main" pred="{B24FD4CB-7C86-C314-11F9-534C551B4B17}"/>
                </a:ext>
              </a:extLst>
            </xdr14:cNvPr>
            <xdr14:cNvContentPartPr/>
          </xdr14:nvContentPartPr>
          <xdr14:nvPr macro=""/>
          <xdr14:xfrm>
            <a:off x="2087969" y="7121956"/>
            <a:ext cx="215804" cy="481496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C4D9130-BB2D-67C7-526A-B767F804AD3C}"/>
                </a:ext>
                <a:ext uri="{147F2762-F138-4A5C-976F-8EAC2B608ADB}">
                  <a16:predDERef xmlns:a16="http://schemas.microsoft.com/office/drawing/2014/main" pred="{B24FD4CB-7C86-C314-11F9-534C551B4B17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995840" y="4337640"/>
              <a:ext cx="191160" cy="45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642456</xdr:colOff>
      <xdr:row>33</xdr:row>
      <xdr:rowOff>91200</xdr:rowOff>
    </xdr:from>
    <xdr:to>
      <xdr:col>3</xdr:col>
      <xdr:colOff>98932</xdr:colOff>
      <xdr:row>33</xdr:row>
      <xdr:rowOff>185520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7D0B2DB-CE62-9976-F563-67A57A6F66CA}"/>
                </a:ext>
                <a:ext uri="{147F2762-F138-4A5C-976F-8EAC2B608ADB}">
                  <a16:predDERef xmlns:a16="http://schemas.microsoft.com/office/drawing/2014/main" pred="{8C4D9130-BB2D-67C7-526A-B767F804AD3C}"/>
                </a:ext>
              </a:extLst>
            </xdr14:cNvPr>
            <xdr14:cNvContentPartPr/>
          </xdr14:nvContentPartPr>
          <xdr14:nvPr macro=""/>
          <xdr14:xfrm>
            <a:off x="2322133" y="7055716"/>
            <a:ext cx="111960" cy="943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57D0B2DB-CE62-9976-F563-67A57A6F66CA}"/>
                </a:ext>
                <a:ext uri="{147F2762-F138-4A5C-976F-8EAC2B608ADB}">
                  <a16:predDERef xmlns:a16="http://schemas.microsoft.com/office/drawing/2014/main" pred="{8C4D9130-BB2D-67C7-526A-B767F804AD3C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2183760" y="4271760"/>
              <a:ext cx="13320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126652</xdr:colOff>
      <xdr:row>34</xdr:row>
      <xdr:rowOff>152339</xdr:rowOff>
    </xdr:from>
    <xdr:to>
      <xdr:col>3</xdr:col>
      <xdr:colOff>247972</xdr:colOff>
      <xdr:row>35</xdr:row>
      <xdr:rowOff>2879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43B6CFE3-7988-3409-8F79-2D78EA33E388}"/>
                </a:ext>
                <a:ext uri="{147F2762-F138-4A5C-976F-8EAC2B608ADB}">
                  <a16:predDERef xmlns:a16="http://schemas.microsoft.com/office/drawing/2014/main" pred="{57D0B2DB-CE62-9976-F563-67A57A6F66CA}"/>
                </a:ext>
              </a:extLst>
            </xdr14:cNvPr>
            <xdr14:cNvContentPartPr/>
          </xdr14:nvContentPartPr>
          <xdr14:nvPr macro=""/>
          <xdr14:xfrm>
            <a:off x="2461813" y="7321694"/>
            <a:ext cx="121320" cy="55379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43B6CFE3-7988-3409-8F79-2D78EA33E388}"/>
                </a:ext>
                <a:ext uri="{147F2762-F138-4A5C-976F-8EAC2B608ADB}">
                  <a16:predDERef xmlns:a16="http://schemas.microsoft.com/office/drawing/2014/main" pred="{57D0B2DB-CE62-9976-F563-67A57A6F66CA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2323440" y="4523040"/>
              <a:ext cx="14256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151852</xdr:colOff>
      <xdr:row>34</xdr:row>
      <xdr:rowOff>106619</xdr:rowOff>
    </xdr:from>
    <xdr:to>
      <xdr:col>3</xdr:col>
      <xdr:colOff>177772</xdr:colOff>
      <xdr:row>35</xdr:row>
      <xdr:rowOff>20519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920369EC-A727-8A71-91FC-3769F3B1AA3D}"/>
                </a:ext>
                <a:ext uri="{147F2762-F138-4A5C-976F-8EAC2B608ADB}">
                  <a16:predDERef xmlns:a16="http://schemas.microsoft.com/office/drawing/2014/main" pred="{43B6CFE3-7988-3409-8F79-2D78EA33E388}"/>
                </a:ext>
              </a:extLst>
            </xdr14:cNvPr>
            <xdr14:cNvContentPartPr/>
          </xdr14:nvContentPartPr>
          <xdr14:nvPr macro=""/>
          <xdr14:xfrm>
            <a:off x="2487013" y="7275974"/>
            <a:ext cx="25920" cy="118739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920369EC-A727-8A71-91FC-3769F3B1AA3D}"/>
                </a:ext>
                <a:ext uri="{147F2762-F138-4A5C-976F-8EAC2B608ADB}">
                  <a16:predDERef xmlns:a16="http://schemas.microsoft.com/office/drawing/2014/main" pred="{43B6CFE3-7988-3409-8F79-2D78EA33E388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2349000" y="4477320"/>
              <a:ext cx="4716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380452</xdr:colOff>
      <xdr:row>33</xdr:row>
      <xdr:rowOff>71040</xdr:rowOff>
    </xdr:from>
    <xdr:to>
      <xdr:col>3</xdr:col>
      <xdr:colOff>479812</xdr:colOff>
      <xdr:row>36</xdr:row>
      <xdr:rowOff>71220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FACA5774-D39B-9C7C-F0BC-55B247A96FDC}"/>
                </a:ext>
                <a:ext uri="{147F2762-F138-4A5C-976F-8EAC2B608ADB}">
                  <a16:predDERef xmlns:a16="http://schemas.microsoft.com/office/drawing/2014/main" pred="{920369EC-A727-8A71-91FC-3769F3B1AA3D}"/>
                </a:ext>
              </a:extLst>
            </xdr14:cNvPr>
            <xdr14:cNvContentPartPr/>
          </xdr14:nvContentPartPr>
          <xdr14:nvPr macro=""/>
          <xdr14:xfrm>
            <a:off x="2715613" y="7035556"/>
            <a:ext cx="99360" cy="614696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FACA5774-D39B-9C7C-F0BC-55B247A96FDC}"/>
                </a:ext>
                <a:ext uri="{147F2762-F138-4A5C-976F-8EAC2B608ADB}">
                  <a16:predDERef xmlns:a16="http://schemas.microsoft.com/office/drawing/2014/main" pred="{920369EC-A727-8A71-91FC-3769F3B1AA3D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2577600" y="4251240"/>
              <a:ext cx="120600" cy="59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30052</xdr:colOff>
      <xdr:row>33</xdr:row>
      <xdr:rowOff>78600</xdr:rowOff>
    </xdr:from>
    <xdr:to>
      <xdr:col>4</xdr:col>
      <xdr:colOff>177652</xdr:colOff>
      <xdr:row>34</xdr:row>
      <xdr:rowOff>33179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5FA5B6E4-FD61-0EC6-E371-789CB6C47313}"/>
                </a:ext>
                <a:ext uri="{147F2762-F138-4A5C-976F-8EAC2B608ADB}">
                  <a16:predDERef xmlns:a16="http://schemas.microsoft.com/office/drawing/2014/main" pred="{FACA5774-D39B-9C7C-F0BC-55B247A96FDC}"/>
                </a:ext>
              </a:extLst>
            </xdr14:cNvPr>
            <xdr14:cNvContentPartPr/>
          </xdr14:nvContentPartPr>
          <xdr14:nvPr macro=""/>
          <xdr14:xfrm>
            <a:off x="3020697" y="7043116"/>
            <a:ext cx="147600" cy="159418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5FA5B6E4-FD61-0EC6-E371-789CB6C47313}"/>
                </a:ext>
                <a:ext uri="{147F2762-F138-4A5C-976F-8EAC2B608ADB}">
                  <a16:predDERef xmlns:a16="http://schemas.microsoft.com/office/drawing/2014/main" pred="{FACA5774-D39B-9C7C-F0BC-55B247A96FDC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2836440" y="4258800"/>
              <a:ext cx="1688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238132</xdr:colOff>
      <xdr:row>33</xdr:row>
      <xdr:rowOff>4800</xdr:rowOff>
    </xdr:from>
    <xdr:to>
      <xdr:col>4</xdr:col>
      <xdr:colOff>307252</xdr:colOff>
      <xdr:row>34</xdr:row>
      <xdr:rowOff>69899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C215DA8D-5B20-C07A-FCB5-2961836851EC}"/>
                </a:ext>
                <a:ext uri="{147F2762-F138-4A5C-976F-8EAC2B608ADB}">
                  <a16:predDERef xmlns:a16="http://schemas.microsoft.com/office/drawing/2014/main" pred="{5FA5B6E4-FD61-0EC6-E371-789CB6C47313}"/>
                </a:ext>
              </a:extLst>
            </xdr14:cNvPr>
            <xdr14:cNvContentPartPr/>
          </xdr14:nvContentPartPr>
          <xdr14:nvPr macro=""/>
          <xdr14:xfrm>
            <a:off x="3228777" y="6969316"/>
            <a:ext cx="69120" cy="269938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C215DA8D-5B20-C07A-FCB5-2961836851EC}"/>
                </a:ext>
                <a:ext uri="{147F2762-F138-4A5C-976F-8EAC2B608ADB}">
                  <a16:predDERef xmlns:a16="http://schemas.microsoft.com/office/drawing/2014/main" pred="{5FA5B6E4-FD61-0EC6-E371-789CB6C47313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3044880" y="4185360"/>
              <a:ext cx="9036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421012</xdr:colOff>
      <xdr:row>32</xdr:row>
      <xdr:rowOff>119340</xdr:rowOff>
    </xdr:from>
    <xdr:to>
      <xdr:col>4</xdr:col>
      <xdr:colOff>527932</xdr:colOff>
      <xdr:row>33</xdr:row>
      <xdr:rowOff>81480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7B76DBBC-0434-48D5-5D72-9BDC4894CBA2}"/>
                </a:ext>
                <a:ext uri="{147F2762-F138-4A5C-976F-8EAC2B608ADB}">
                  <a16:predDERef xmlns:a16="http://schemas.microsoft.com/office/drawing/2014/main" pred="{C215DA8D-5B20-C07A-FCB5-2961836851EC}"/>
                </a:ext>
              </a:extLst>
            </xdr14:cNvPr>
            <xdr14:cNvContentPartPr/>
          </xdr14:nvContentPartPr>
          <xdr14:nvPr macro=""/>
          <xdr14:xfrm>
            <a:off x="3411657" y="6879017"/>
            <a:ext cx="106920" cy="166979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7B76DBBC-0434-48D5-5D72-9BDC4894CBA2}"/>
                </a:ext>
                <a:ext uri="{147F2762-F138-4A5C-976F-8EAC2B608ADB}">
                  <a16:predDERef xmlns:a16="http://schemas.microsoft.com/office/drawing/2014/main" pred="{C215DA8D-5B20-C07A-FCB5-2961836851EC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3227760" y="4109400"/>
              <a:ext cx="1281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295372</xdr:colOff>
      <xdr:row>33</xdr:row>
      <xdr:rowOff>98760</xdr:rowOff>
    </xdr:from>
    <xdr:to>
      <xdr:col>4</xdr:col>
      <xdr:colOff>615412</xdr:colOff>
      <xdr:row>33</xdr:row>
      <xdr:rowOff>129720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B22E9361-8BC7-111B-7702-1E1802F5C5D1}"/>
                </a:ext>
                <a:ext uri="{147F2762-F138-4A5C-976F-8EAC2B608ADB}">
                  <a16:predDERef xmlns:a16="http://schemas.microsoft.com/office/drawing/2014/main" pred="{7B76DBBC-0434-48D5-5D72-9BDC4894CBA2}"/>
                </a:ext>
              </a:extLst>
            </xdr14:cNvPr>
            <xdr14:cNvContentPartPr/>
          </xdr14:nvContentPartPr>
          <xdr14:nvPr macro=""/>
          <xdr14:xfrm>
            <a:off x="3286017" y="7063276"/>
            <a:ext cx="320040" cy="309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B22E9361-8BC7-111B-7702-1E1802F5C5D1}"/>
                </a:ext>
                <a:ext uri="{147F2762-F138-4A5C-976F-8EAC2B608ADB}">
                  <a16:predDERef xmlns:a16="http://schemas.microsoft.com/office/drawing/2014/main" pred="{7B76DBBC-0434-48D5-5D72-9BDC4894CBA2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3102120" y="4279320"/>
              <a:ext cx="34128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340012</xdr:colOff>
      <xdr:row>33</xdr:row>
      <xdr:rowOff>144840</xdr:rowOff>
    </xdr:from>
    <xdr:to>
      <xdr:col>4</xdr:col>
      <xdr:colOff>424252</xdr:colOff>
      <xdr:row>34</xdr:row>
      <xdr:rowOff>88979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F2E20FA3-8C56-B219-CB2E-0D2C30B8D8FC}"/>
                </a:ext>
                <a:ext uri="{147F2762-F138-4A5C-976F-8EAC2B608ADB}">
                  <a16:predDERef xmlns:a16="http://schemas.microsoft.com/office/drawing/2014/main" pred="{B22E9361-8BC7-111B-7702-1E1802F5C5D1}"/>
                </a:ext>
              </a:extLst>
            </xdr14:cNvPr>
            <xdr14:cNvContentPartPr/>
          </xdr14:nvContentPartPr>
          <xdr14:nvPr macro=""/>
          <xdr14:xfrm>
            <a:off x="3330657" y="7109356"/>
            <a:ext cx="84240" cy="148978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F2E20FA3-8C56-B219-CB2E-0D2C30B8D8FC}"/>
                </a:ext>
                <a:ext uri="{147F2762-F138-4A5C-976F-8EAC2B608ADB}">
                  <a16:predDERef xmlns:a16="http://schemas.microsoft.com/office/drawing/2014/main" pred="{B22E9361-8BC7-111B-7702-1E1802F5C5D1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3146400" y="4325400"/>
              <a:ext cx="1054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439012</xdr:colOff>
      <xdr:row>33</xdr:row>
      <xdr:rowOff>190200</xdr:rowOff>
    </xdr:from>
    <xdr:to>
      <xdr:col>4</xdr:col>
      <xdr:colOff>515692</xdr:colOff>
      <xdr:row>34</xdr:row>
      <xdr:rowOff>25619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089C402A-8AB2-1A83-995B-EA2CC3C0428C}"/>
                </a:ext>
                <a:ext uri="{147F2762-F138-4A5C-976F-8EAC2B608ADB}">
                  <a16:predDERef xmlns:a16="http://schemas.microsoft.com/office/drawing/2014/main" pred="{F2E20FA3-8C56-B219-CB2E-0D2C30B8D8FC}"/>
                </a:ext>
              </a:extLst>
            </xdr14:cNvPr>
            <xdr14:cNvContentPartPr/>
          </xdr14:nvContentPartPr>
          <xdr14:nvPr macro=""/>
          <xdr14:xfrm>
            <a:off x="3429657" y="7154716"/>
            <a:ext cx="76680" cy="40258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089C402A-8AB2-1A83-995B-EA2CC3C0428C}"/>
                </a:ext>
                <a:ext uri="{147F2762-F138-4A5C-976F-8EAC2B608ADB}">
                  <a16:predDERef xmlns:a16="http://schemas.microsoft.com/office/drawing/2014/main" pred="{F2E20FA3-8C56-B219-CB2E-0D2C30B8D8FC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3245400" y="4370760"/>
              <a:ext cx="9792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487252</xdr:colOff>
      <xdr:row>33</xdr:row>
      <xdr:rowOff>165000</xdr:rowOff>
    </xdr:from>
    <xdr:to>
      <xdr:col>4</xdr:col>
      <xdr:colOff>500212</xdr:colOff>
      <xdr:row>34</xdr:row>
      <xdr:rowOff>64499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AD753180-8F6E-187F-B57A-9825A7C95AC3}"/>
                </a:ext>
                <a:ext uri="{147F2762-F138-4A5C-976F-8EAC2B608ADB}">
                  <a16:predDERef xmlns:a16="http://schemas.microsoft.com/office/drawing/2014/main" pred="{089C402A-8AB2-1A83-995B-EA2CC3C0428C}"/>
                </a:ext>
              </a:extLst>
            </xdr14:cNvPr>
            <xdr14:cNvContentPartPr/>
          </xdr14:nvContentPartPr>
          <xdr14:nvPr macro=""/>
          <xdr14:xfrm>
            <a:off x="3477897" y="7129516"/>
            <a:ext cx="12960" cy="104338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AD753180-8F6E-187F-B57A-9825A7C95AC3}"/>
                </a:ext>
                <a:ext uri="{147F2762-F138-4A5C-976F-8EAC2B608ADB}">
                  <a16:predDERef xmlns:a16="http://schemas.microsoft.com/office/drawing/2014/main" pred="{089C402A-8AB2-1A83-995B-EA2CC3C0428C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3293640" y="4345200"/>
              <a:ext cx="3420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538012</xdr:colOff>
      <xdr:row>33</xdr:row>
      <xdr:rowOff>137280</xdr:rowOff>
    </xdr:from>
    <xdr:to>
      <xdr:col>4</xdr:col>
      <xdr:colOff>614692</xdr:colOff>
      <xdr:row>34</xdr:row>
      <xdr:rowOff>66299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76B5967E-2469-CB62-6123-D24FE4611CD0}"/>
                </a:ext>
                <a:ext uri="{147F2762-F138-4A5C-976F-8EAC2B608ADB}">
                  <a16:predDERef xmlns:a16="http://schemas.microsoft.com/office/drawing/2014/main" pred="{AD753180-8F6E-187F-B57A-9825A7C95AC3}"/>
                </a:ext>
              </a:extLst>
            </xdr14:cNvPr>
            <xdr14:cNvContentPartPr/>
          </xdr14:nvContentPartPr>
          <xdr14:nvPr macro=""/>
          <xdr14:xfrm>
            <a:off x="3528657" y="7101796"/>
            <a:ext cx="76680" cy="133858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76B5967E-2469-CB62-6123-D24FE4611CD0}"/>
                </a:ext>
                <a:ext uri="{147F2762-F138-4A5C-976F-8EAC2B608ADB}">
                  <a16:predDERef xmlns:a16="http://schemas.microsoft.com/office/drawing/2014/main" pred="{AD753180-8F6E-187F-B57A-9825A7C95AC3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3344400" y="4317480"/>
              <a:ext cx="9792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660464</xdr:colOff>
      <xdr:row>34</xdr:row>
      <xdr:rowOff>1139</xdr:rowOff>
    </xdr:from>
    <xdr:to>
      <xdr:col>5</xdr:col>
      <xdr:colOff>7572</xdr:colOff>
      <xdr:row>34</xdr:row>
      <xdr:rowOff>60899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28F918DF-6746-4FEF-274A-CAC8A13D0FA6}"/>
                </a:ext>
                <a:ext uri="{147F2762-F138-4A5C-976F-8EAC2B608ADB}">
                  <a16:predDERef xmlns:a16="http://schemas.microsoft.com/office/drawing/2014/main" pred="{76B5967E-2469-CB62-6123-D24FE4611CD0}"/>
                </a:ext>
              </a:extLst>
            </xdr14:cNvPr>
            <xdr14:cNvContentPartPr/>
          </xdr14:nvContentPartPr>
          <xdr14:nvPr macro=""/>
          <xdr14:xfrm>
            <a:off x="3651109" y="7170494"/>
            <a:ext cx="43560" cy="5976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28F918DF-6746-4FEF-274A-CAC8A13D0FA6}"/>
                </a:ext>
                <a:ext uri="{147F2762-F138-4A5C-976F-8EAC2B608ADB}">
                  <a16:predDERef xmlns:a16="http://schemas.microsoft.com/office/drawing/2014/main" pred="{76B5967E-2469-CB62-6123-D24FE4611CD0}"/>
                </a:ext>
              </a:extLst>
            </xdr:cNvPr>
            <xdr:cNvPicPr/>
          </xdr:nvPicPr>
          <xdr:blipFill>
            <a:blip xmlns:r="http://schemas.openxmlformats.org/officeDocument/2006/relationships" r:embed="rId201"/>
            <a:stretch>
              <a:fillRect/>
            </a:stretch>
          </xdr:blipFill>
          <xdr:spPr>
            <a:xfrm>
              <a:off x="3430800" y="4372200"/>
              <a:ext cx="6480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29892</xdr:colOff>
      <xdr:row>32</xdr:row>
      <xdr:rowOff>144540</xdr:rowOff>
    </xdr:from>
    <xdr:to>
      <xdr:col>5</xdr:col>
      <xdr:colOff>189732</xdr:colOff>
      <xdr:row>34</xdr:row>
      <xdr:rowOff>122099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6FE6D157-2B0C-285C-72A1-094B04B514D1}"/>
                </a:ext>
                <a:ext uri="{147F2762-F138-4A5C-976F-8EAC2B608ADB}">
                  <a16:predDERef xmlns:a16="http://schemas.microsoft.com/office/drawing/2014/main" pred="{28F918DF-6746-4FEF-274A-CAC8A13D0FA6}"/>
                </a:ext>
              </a:extLst>
            </xdr14:cNvPr>
            <xdr14:cNvContentPartPr/>
          </xdr14:nvContentPartPr>
          <xdr14:nvPr macro=""/>
          <xdr14:xfrm>
            <a:off x="3716989" y="6904217"/>
            <a:ext cx="159840" cy="387237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6FE6D157-2B0C-285C-72A1-094B04B514D1}"/>
                </a:ext>
                <a:ext uri="{147F2762-F138-4A5C-976F-8EAC2B608ADB}">
                  <a16:predDERef xmlns:a16="http://schemas.microsoft.com/office/drawing/2014/main" pred="{28F918DF-6746-4FEF-274A-CAC8A13D0FA6}"/>
                </a:ext>
              </a:extLst>
            </xdr:cNvPr>
            <xdr:cNvPicPr/>
          </xdr:nvPicPr>
          <xdr:blipFill>
            <a:blip xmlns:r="http://schemas.openxmlformats.org/officeDocument/2006/relationships" r:embed="rId203"/>
            <a:stretch>
              <a:fillRect/>
            </a:stretch>
          </xdr:blipFill>
          <xdr:spPr>
            <a:xfrm>
              <a:off x="3497040" y="4134600"/>
              <a:ext cx="181080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629736</xdr:colOff>
      <xdr:row>34</xdr:row>
      <xdr:rowOff>162419</xdr:rowOff>
    </xdr:from>
    <xdr:to>
      <xdr:col>5</xdr:col>
      <xdr:colOff>119172</xdr:colOff>
      <xdr:row>35</xdr:row>
      <xdr:rowOff>46079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BCCD9691-5949-A9C7-E4AA-42495769299D}"/>
                </a:ext>
                <a:ext uri="{147F2762-F138-4A5C-976F-8EAC2B608ADB}">
                  <a16:predDERef xmlns:a16="http://schemas.microsoft.com/office/drawing/2014/main" pred="{6FE6D157-2B0C-285C-72A1-094B04B514D1}"/>
                </a:ext>
              </a:extLst>
            </xdr14:cNvPr>
            <xdr14:cNvContentPartPr/>
          </xdr14:nvContentPartPr>
          <xdr14:nvPr macro=""/>
          <xdr14:xfrm>
            <a:off x="2964897" y="7331774"/>
            <a:ext cx="841372" cy="88499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BCCD9691-5949-A9C7-E4AA-42495769299D}"/>
                </a:ext>
                <a:ext uri="{147F2762-F138-4A5C-976F-8EAC2B608ADB}">
                  <a16:predDERef xmlns:a16="http://schemas.microsoft.com/office/drawing/2014/main" pred="{6FE6D157-2B0C-285C-72A1-094B04B514D1}"/>
                </a:ext>
              </a:extLst>
            </xdr:cNvPr>
            <xdr:cNvPicPr/>
          </xdr:nvPicPr>
          <xdr:blipFill>
            <a:blip xmlns:r="http://schemas.openxmlformats.org/officeDocument/2006/relationships" r:embed="rId205"/>
            <a:stretch>
              <a:fillRect/>
            </a:stretch>
          </xdr:blipFill>
          <xdr:spPr>
            <a:xfrm>
              <a:off x="2781000" y="4533120"/>
              <a:ext cx="8265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108892</xdr:colOff>
      <xdr:row>35</xdr:row>
      <xdr:rowOff>119159</xdr:rowOff>
    </xdr:from>
    <xdr:to>
      <xdr:col>4</xdr:col>
      <xdr:colOff>157492</xdr:colOff>
      <xdr:row>37</xdr:row>
      <xdr:rowOff>21839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AE82A6EE-2A03-2B98-BA86-822061D1934E}"/>
                </a:ext>
                <a:ext uri="{147F2762-F138-4A5C-976F-8EAC2B608ADB}">
                  <a16:predDERef xmlns:a16="http://schemas.microsoft.com/office/drawing/2014/main" pred="{BCCD9691-5949-A9C7-E4AA-42495769299D}"/>
                </a:ext>
              </a:extLst>
            </xdr14:cNvPr>
            <xdr14:cNvContentPartPr/>
          </xdr14:nvContentPartPr>
          <xdr14:nvPr macro=""/>
          <xdr14:xfrm>
            <a:off x="3099537" y="7493353"/>
            <a:ext cx="48600" cy="312357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AE82A6EE-2A03-2B98-BA86-822061D1934E}"/>
                </a:ext>
                <a:ext uri="{147F2762-F138-4A5C-976F-8EAC2B608ADB}">
                  <a16:predDERef xmlns:a16="http://schemas.microsoft.com/office/drawing/2014/main" pred="{BCCD9691-5949-A9C7-E4AA-42495769299D}"/>
                </a:ext>
              </a:extLst>
            </xdr:cNvPr>
            <xdr:cNvPicPr/>
          </xdr:nvPicPr>
          <xdr:blipFill>
            <a:blip xmlns:r="http://schemas.openxmlformats.org/officeDocument/2006/relationships" r:embed="rId207"/>
            <a:stretch>
              <a:fillRect/>
            </a:stretch>
          </xdr:blipFill>
          <xdr:spPr>
            <a:xfrm>
              <a:off x="2915280" y="4680720"/>
              <a:ext cx="6984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246052</xdr:colOff>
      <xdr:row>35</xdr:row>
      <xdr:rowOff>53279</xdr:rowOff>
    </xdr:from>
    <xdr:to>
      <xdr:col>4</xdr:col>
      <xdr:colOff>337852</xdr:colOff>
      <xdr:row>36</xdr:row>
      <xdr:rowOff>3093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443FAD70-9F15-DD15-5719-5FD1291C2FF7}"/>
                </a:ext>
                <a:ext uri="{147F2762-F138-4A5C-976F-8EAC2B608ADB}">
                  <a16:predDERef xmlns:a16="http://schemas.microsoft.com/office/drawing/2014/main" pred="{AE82A6EE-2A03-2B98-BA86-822061D1934E}"/>
                </a:ext>
              </a:extLst>
            </xdr14:cNvPr>
            <xdr14:cNvContentPartPr/>
          </xdr14:nvContentPartPr>
          <xdr14:nvPr macro=""/>
          <xdr14:xfrm>
            <a:off x="3236697" y="7427473"/>
            <a:ext cx="91800" cy="154652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443FAD70-9F15-DD15-5719-5FD1291C2FF7}"/>
                </a:ext>
                <a:ext uri="{147F2762-F138-4A5C-976F-8EAC2B608ADB}">
                  <a16:predDERef xmlns:a16="http://schemas.microsoft.com/office/drawing/2014/main" pred="{AE82A6EE-2A03-2B98-BA86-822061D1934E}"/>
                </a:ext>
              </a:extLst>
            </xdr:cNvPr>
            <xdr:cNvPicPr/>
          </xdr:nvPicPr>
          <xdr:blipFill>
            <a:blip xmlns:r="http://schemas.openxmlformats.org/officeDocument/2006/relationships" r:embed="rId209"/>
            <a:stretch>
              <a:fillRect/>
            </a:stretch>
          </xdr:blipFill>
          <xdr:spPr>
            <a:xfrm>
              <a:off x="3052440" y="4614840"/>
              <a:ext cx="11304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154612</xdr:colOff>
      <xdr:row>35</xdr:row>
      <xdr:rowOff>182879</xdr:rowOff>
    </xdr:from>
    <xdr:to>
      <xdr:col>4</xdr:col>
      <xdr:colOff>472852</xdr:colOff>
      <xdr:row>36</xdr:row>
      <xdr:rowOff>15780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902FBD4E-DC87-BF94-F349-B7B97261C343}"/>
                </a:ext>
                <a:ext uri="{147F2762-F138-4A5C-976F-8EAC2B608ADB}">
                  <a16:predDERef xmlns:a16="http://schemas.microsoft.com/office/drawing/2014/main" pred="{443FAD70-9F15-DD15-5719-5FD1291C2FF7}"/>
                </a:ext>
              </a:extLst>
            </xdr14:cNvPr>
            <xdr14:cNvContentPartPr/>
          </xdr14:nvContentPartPr>
          <xdr14:nvPr macro=""/>
          <xdr14:xfrm>
            <a:off x="3145257" y="7557073"/>
            <a:ext cx="318240" cy="37739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902FBD4E-DC87-BF94-F349-B7B97261C343}"/>
                </a:ext>
                <a:ext uri="{147F2762-F138-4A5C-976F-8EAC2B608ADB}">
                  <a16:predDERef xmlns:a16="http://schemas.microsoft.com/office/drawing/2014/main" pred="{443FAD70-9F15-DD15-5719-5FD1291C2FF7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2961000" y="4744080"/>
              <a:ext cx="33948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235612</xdr:colOff>
      <xdr:row>36</xdr:row>
      <xdr:rowOff>25500</xdr:rowOff>
    </xdr:from>
    <xdr:to>
      <xdr:col>4</xdr:col>
      <xdr:colOff>324892</xdr:colOff>
      <xdr:row>36</xdr:row>
      <xdr:rowOff>147540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509A437-B9F2-6B4B-8F22-EE23EDB84651}"/>
                </a:ext>
                <a:ext uri="{147F2762-F138-4A5C-976F-8EAC2B608ADB}">
                  <a16:predDERef xmlns:a16="http://schemas.microsoft.com/office/drawing/2014/main" pred="{902FBD4E-DC87-BF94-F349-B7B97261C343}"/>
                </a:ext>
              </a:extLst>
            </xdr14:cNvPr>
            <xdr14:cNvContentPartPr/>
          </xdr14:nvContentPartPr>
          <xdr14:nvPr macro=""/>
          <xdr14:xfrm>
            <a:off x="3226257" y="7604532"/>
            <a:ext cx="89280" cy="1220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509A437-B9F2-6B4B-8F22-EE23EDB84651}"/>
                </a:ext>
                <a:ext uri="{147F2762-F138-4A5C-976F-8EAC2B608ADB}">
                  <a16:predDERef xmlns:a16="http://schemas.microsoft.com/office/drawing/2014/main" pred="{902FBD4E-DC87-BF94-F349-B7B97261C343}"/>
                </a:ext>
              </a:extLst>
            </xdr:cNvPr>
            <xdr:cNvPicPr/>
          </xdr:nvPicPr>
          <xdr:blipFill>
            <a:blip xmlns:r="http://schemas.openxmlformats.org/officeDocument/2006/relationships" r:embed="rId213"/>
            <a:stretch>
              <a:fillRect/>
            </a:stretch>
          </xdr:blipFill>
          <xdr:spPr>
            <a:xfrm>
              <a:off x="3042360" y="4777560"/>
              <a:ext cx="1105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337492</xdr:colOff>
      <xdr:row>36</xdr:row>
      <xdr:rowOff>78420</xdr:rowOff>
    </xdr:from>
    <xdr:to>
      <xdr:col>4</xdr:col>
      <xdr:colOff>391492</xdr:colOff>
      <xdr:row>36</xdr:row>
      <xdr:rowOff>98940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5C541EB-9C23-5298-A1C8-5D95C67F8038}"/>
                </a:ext>
                <a:ext uri="{147F2762-F138-4A5C-976F-8EAC2B608ADB}">
                  <a16:predDERef xmlns:a16="http://schemas.microsoft.com/office/drawing/2014/main" pred="{4509A437-B9F2-6B4B-8F22-EE23EDB84651}"/>
                </a:ext>
              </a:extLst>
            </xdr14:cNvPr>
            <xdr14:cNvContentPartPr/>
          </xdr14:nvContentPartPr>
          <xdr14:nvPr macro=""/>
          <xdr14:xfrm>
            <a:off x="3328137" y="7657452"/>
            <a:ext cx="54000" cy="205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5C541EB-9C23-5298-A1C8-5D95C67F8038}"/>
                </a:ext>
                <a:ext uri="{147F2762-F138-4A5C-976F-8EAC2B608ADB}">
                  <a16:predDERef xmlns:a16="http://schemas.microsoft.com/office/drawing/2014/main" pred="{4509A437-B9F2-6B4B-8F22-EE23EDB84651}"/>
                </a:ext>
              </a:extLst>
            </xdr:cNvPr>
            <xdr:cNvPicPr/>
          </xdr:nvPicPr>
          <xdr:blipFill>
            <a:blip xmlns:r="http://schemas.openxmlformats.org/officeDocument/2006/relationships" r:embed="rId215"/>
            <a:stretch>
              <a:fillRect/>
            </a:stretch>
          </xdr:blipFill>
          <xdr:spPr>
            <a:xfrm>
              <a:off x="3143880" y="4830480"/>
              <a:ext cx="7524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375292</xdr:colOff>
      <xdr:row>36</xdr:row>
      <xdr:rowOff>58260</xdr:rowOff>
    </xdr:from>
    <xdr:to>
      <xdr:col>4</xdr:col>
      <xdr:colOff>378172</xdr:colOff>
      <xdr:row>36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D9D1EA6D-C6ED-8ADD-4F07-912EB7049920}"/>
                </a:ext>
                <a:ext uri="{147F2762-F138-4A5C-976F-8EAC2B608ADB}">
                  <a16:predDERef xmlns:a16="http://schemas.microsoft.com/office/drawing/2014/main" pred="{B5C541EB-9C23-5298-A1C8-5D95C67F8038}"/>
                </a:ext>
              </a:extLst>
            </xdr14:cNvPr>
            <xdr14:cNvContentPartPr/>
          </xdr14:nvContentPartPr>
          <xdr14:nvPr macro=""/>
          <xdr14:xfrm>
            <a:off x="3365937" y="7637292"/>
            <a:ext cx="2880" cy="867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D9D1EA6D-C6ED-8ADD-4F07-912EB7049920}"/>
                </a:ext>
                <a:ext uri="{147F2762-F138-4A5C-976F-8EAC2B608ADB}">
                  <a16:predDERef xmlns:a16="http://schemas.microsoft.com/office/drawing/2014/main" pred="{B5C541EB-9C23-5298-A1C8-5D95C67F8038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3182040" y="4809960"/>
              <a:ext cx="241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415972</xdr:colOff>
      <xdr:row>36</xdr:row>
      <xdr:rowOff>13980</xdr:rowOff>
    </xdr:from>
    <xdr:to>
      <xdr:col>4</xdr:col>
      <xdr:colOff>472132</xdr:colOff>
      <xdr:row>36</xdr:row>
      <xdr:rowOff>111900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62FE346B-EE8C-3C96-13AD-43DBD48FC391}"/>
                </a:ext>
                <a:ext uri="{147F2762-F138-4A5C-976F-8EAC2B608ADB}">
                  <a16:predDERef xmlns:a16="http://schemas.microsoft.com/office/drawing/2014/main" pred="{D9D1EA6D-C6ED-8ADD-4F07-912EB7049920}"/>
                </a:ext>
              </a:extLst>
            </xdr14:cNvPr>
            <xdr14:cNvContentPartPr/>
          </xdr14:nvContentPartPr>
          <xdr14:nvPr macro=""/>
          <xdr14:xfrm>
            <a:off x="3406617" y="7593012"/>
            <a:ext cx="56160" cy="979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62FE346B-EE8C-3C96-13AD-43DBD48FC391}"/>
                </a:ext>
                <a:ext uri="{147F2762-F138-4A5C-976F-8EAC2B608ADB}">
                  <a16:predDERef xmlns:a16="http://schemas.microsoft.com/office/drawing/2014/main" pred="{D9D1EA6D-C6ED-8ADD-4F07-912EB7049920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3222720" y="4765680"/>
              <a:ext cx="7740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479692</xdr:colOff>
      <xdr:row>36</xdr:row>
      <xdr:rowOff>53220</xdr:rowOff>
    </xdr:from>
    <xdr:to>
      <xdr:col>4</xdr:col>
      <xdr:colOff>530812</xdr:colOff>
      <xdr:row>36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5703148-C979-BA00-9525-C8EF2DFAB4F9}"/>
                </a:ext>
                <a:ext uri="{147F2762-F138-4A5C-976F-8EAC2B608ADB}">
                  <a16:predDERef xmlns:a16="http://schemas.microsoft.com/office/drawing/2014/main" pred="{62FE346B-EE8C-3C96-13AD-43DBD48FC391}"/>
                </a:ext>
              </a:extLst>
            </xdr14:cNvPr>
            <xdr14:cNvContentPartPr/>
          </xdr14:nvContentPartPr>
          <xdr14:nvPr macro=""/>
          <xdr14:xfrm>
            <a:off x="3470337" y="7632252"/>
            <a:ext cx="51120" cy="691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5703148-C979-BA00-9525-C8EF2DFAB4F9}"/>
                </a:ext>
                <a:ext uri="{147F2762-F138-4A5C-976F-8EAC2B608ADB}">
                  <a16:predDERef xmlns:a16="http://schemas.microsoft.com/office/drawing/2014/main" pred="{62FE346B-EE8C-3C96-13AD-43DBD48FC391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3286080" y="4804920"/>
              <a:ext cx="72360" cy="9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563212</xdr:colOff>
      <xdr:row>35</xdr:row>
      <xdr:rowOff>68399</xdr:rowOff>
    </xdr:from>
    <xdr:to>
      <xdr:col>5</xdr:col>
      <xdr:colOff>1060</xdr:colOff>
      <xdr:row>36</xdr:row>
      <xdr:rowOff>136380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544738F-4844-D85B-67B3-C73399CDCD2A}"/>
                </a:ext>
                <a:ext uri="{147F2762-F138-4A5C-976F-8EAC2B608ADB}">
                  <a16:predDERef xmlns:a16="http://schemas.microsoft.com/office/drawing/2014/main" pred="{35703148-C979-BA00-9525-C8EF2DFAB4F9}"/>
                </a:ext>
              </a:extLst>
            </xdr14:cNvPr>
            <xdr14:cNvContentPartPr/>
          </xdr14:nvContentPartPr>
          <xdr14:nvPr macro=""/>
          <xdr14:xfrm>
            <a:off x="3553857" y="7442593"/>
            <a:ext cx="130372" cy="272819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B544738F-4844-D85B-67B3-C73399CDCD2A}"/>
                </a:ext>
                <a:ext uri="{147F2762-F138-4A5C-976F-8EAC2B608ADB}">
                  <a16:predDERef xmlns:a16="http://schemas.microsoft.com/office/drawing/2014/main" pred="{35703148-C979-BA00-9525-C8EF2DFAB4F9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3369960" y="4629960"/>
              <a:ext cx="115560" cy="27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207372</xdr:colOff>
      <xdr:row>32</xdr:row>
      <xdr:rowOff>152100</xdr:rowOff>
    </xdr:from>
    <xdr:to>
      <xdr:col>5</xdr:col>
      <xdr:colOff>416172</xdr:colOff>
      <xdr:row>36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69968FBD-1E49-6BC2-428E-7B3129F0B374}"/>
                </a:ext>
                <a:ext uri="{147F2762-F138-4A5C-976F-8EAC2B608ADB}">
                  <a16:predDERef xmlns:a16="http://schemas.microsoft.com/office/drawing/2014/main" pred="{B544738F-4844-D85B-67B3-C73399CDCD2A}"/>
                </a:ext>
              </a:extLst>
            </xdr14:cNvPr>
            <xdr14:cNvContentPartPr/>
          </xdr14:nvContentPartPr>
          <xdr14:nvPr macro=""/>
          <xdr14:xfrm>
            <a:off x="3894469" y="6911777"/>
            <a:ext cx="208800" cy="795355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69968FBD-1E49-6BC2-428E-7B3129F0B374}"/>
                </a:ext>
                <a:ext uri="{147F2762-F138-4A5C-976F-8EAC2B608ADB}">
                  <a16:predDERef xmlns:a16="http://schemas.microsoft.com/office/drawing/2014/main" pred="{B544738F-4844-D85B-67B3-C73399CDCD2A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3674520" y="4142160"/>
              <a:ext cx="230040" cy="75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502572</xdr:colOff>
      <xdr:row>33</xdr:row>
      <xdr:rowOff>35400</xdr:rowOff>
    </xdr:from>
    <xdr:to>
      <xdr:col>6</xdr:col>
      <xdr:colOff>15372</xdr:colOff>
      <xdr:row>33</xdr:row>
      <xdr:rowOff>119640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9079654A-8690-E4B8-981A-F36F53281345}"/>
                </a:ext>
                <a:ext uri="{147F2762-F138-4A5C-976F-8EAC2B608ADB}">
                  <a16:predDERef xmlns:a16="http://schemas.microsoft.com/office/drawing/2014/main" pred="{69968FBD-1E49-6BC2-428E-7B3129F0B374}"/>
                </a:ext>
              </a:extLst>
            </xdr14:cNvPr>
            <xdr14:cNvContentPartPr/>
          </xdr14:nvContentPartPr>
          <xdr14:nvPr macro=""/>
          <xdr14:xfrm>
            <a:off x="4189669" y="6999916"/>
            <a:ext cx="168284" cy="8424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9079654A-8690-E4B8-981A-F36F53281345}"/>
                </a:ext>
                <a:ext uri="{147F2762-F138-4A5C-976F-8EAC2B608ADB}">
                  <a16:predDERef xmlns:a16="http://schemas.microsoft.com/office/drawing/2014/main" pred="{69968FBD-1E49-6BC2-428E-7B3129F0B374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3969360" y="4215600"/>
              <a:ext cx="14364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649976</xdr:colOff>
      <xdr:row>32</xdr:row>
      <xdr:rowOff>149580</xdr:rowOff>
    </xdr:from>
    <xdr:to>
      <xdr:col>6</xdr:col>
      <xdr:colOff>157572</xdr:colOff>
      <xdr:row>36</xdr:row>
      <xdr:rowOff>70860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4014C6AC-3D02-FA9F-17D7-C52CF698BB88}"/>
                </a:ext>
                <a:ext uri="{147F2762-F138-4A5C-976F-8EAC2B608ADB}">
                  <a16:predDERef xmlns:a16="http://schemas.microsoft.com/office/drawing/2014/main" pred="{9079654A-8690-E4B8-981A-F36F53281345}"/>
                </a:ext>
              </a:extLst>
            </xdr14:cNvPr>
            <xdr14:cNvContentPartPr/>
          </xdr14:nvContentPartPr>
          <xdr14:nvPr macro=""/>
          <xdr14:xfrm>
            <a:off x="4337073" y="6909257"/>
            <a:ext cx="163080" cy="740635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4014C6AC-3D02-FA9F-17D7-C52CF698BB88}"/>
                </a:ext>
                <a:ext uri="{147F2762-F138-4A5C-976F-8EAC2B608ADB}">
                  <a16:predDERef xmlns:a16="http://schemas.microsoft.com/office/drawing/2014/main" pred="{9079654A-8690-E4B8-981A-F36F53281345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4070880" y="4139640"/>
              <a:ext cx="184320" cy="70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245772</xdr:colOff>
      <xdr:row>32</xdr:row>
      <xdr:rowOff>55980</xdr:rowOff>
    </xdr:from>
    <xdr:to>
      <xdr:col>6</xdr:col>
      <xdr:colOff>301932</xdr:colOff>
      <xdr:row>32</xdr:row>
      <xdr:rowOff>153540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E09688B5-6655-E607-1E40-FB948B5DA981}"/>
                </a:ext>
                <a:ext uri="{147F2762-F138-4A5C-976F-8EAC2B608ADB}">
                  <a16:predDERef xmlns:a16="http://schemas.microsoft.com/office/drawing/2014/main" pred="{4014C6AC-3D02-FA9F-17D7-C52CF698BB88}"/>
                </a:ext>
              </a:extLst>
            </xdr14:cNvPr>
            <xdr14:cNvContentPartPr/>
          </xdr14:nvContentPartPr>
          <xdr14:nvPr macro=""/>
          <xdr14:xfrm>
            <a:off x="4588353" y="6815657"/>
            <a:ext cx="56160" cy="9756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E09688B5-6655-E607-1E40-FB948B5DA981}"/>
                </a:ext>
                <a:ext uri="{147F2762-F138-4A5C-976F-8EAC2B608ADB}">
                  <a16:predDERef xmlns:a16="http://schemas.microsoft.com/office/drawing/2014/main" pred="{4014C6AC-3D02-FA9F-17D7-C52CF698BB88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4322520" y="4046040"/>
              <a:ext cx="7740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238212</xdr:colOff>
      <xdr:row>32</xdr:row>
      <xdr:rowOff>165060</xdr:rowOff>
    </xdr:from>
    <xdr:to>
      <xdr:col>6</xdr:col>
      <xdr:colOff>350172</xdr:colOff>
      <xdr:row>32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E8090E10-915F-8140-2DB1-9788DC61C3EA}"/>
                </a:ext>
                <a:ext uri="{147F2762-F138-4A5C-976F-8EAC2B608ADB}">
                  <a16:predDERef xmlns:a16="http://schemas.microsoft.com/office/drawing/2014/main" pred="{E09688B5-6655-E607-1E40-FB948B5DA981}"/>
                </a:ext>
              </a:extLst>
            </xdr14:cNvPr>
            <xdr14:cNvContentPartPr/>
          </xdr14:nvContentPartPr>
          <xdr14:nvPr macro=""/>
          <xdr14:xfrm>
            <a:off x="4580793" y="6924737"/>
            <a:ext cx="111960" cy="54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E8090E10-915F-8140-2DB1-9788DC61C3EA}"/>
                </a:ext>
                <a:ext uri="{147F2762-F138-4A5C-976F-8EAC2B608ADB}">
                  <a16:predDERef xmlns:a16="http://schemas.microsoft.com/office/drawing/2014/main" pred="{E09688B5-6655-E607-1E40-FB948B5DA981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4314960" y="4154760"/>
              <a:ext cx="1332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256212</xdr:colOff>
      <xdr:row>33</xdr:row>
      <xdr:rowOff>27840</xdr:rowOff>
    </xdr:from>
    <xdr:to>
      <xdr:col>6</xdr:col>
      <xdr:colOff>373572</xdr:colOff>
      <xdr:row>33</xdr:row>
      <xdr:rowOff>114240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5D1B9C77-0FAD-5276-567B-BC4566E4AA62}"/>
                </a:ext>
                <a:ext uri="{147F2762-F138-4A5C-976F-8EAC2B608ADB}">
                  <a16:predDERef xmlns:a16="http://schemas.microsoft.com/office/drawing/2014/main" pred="{E8090E10-915F-8140-2DB1-9788DC61C3EA}"/>
                </a:ext>
              </a:extLst>
            </xdr14:cNvPr>
            <xdr14:cNvContentPartPr/>
          </xdr14:nvContentPartPr>
          <xdr14:nvPr macro=""/>
          <xdr14:xfrm>
            <a:off x="4598793" y="6992356"/>
            <a:ext cx="117360" cy="864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5D1B9C77-0FAD-5276-567B-BC4566E4AA62}"/>
                </a:ext>
                <a:ext uri="{147F2762-F138-4A5C-976F-8EAC2B608ADB}">
                  <a16:predDERef xmlns:a16="http://schemas.microsoft.com/office/drawing/2014/main" pred="{E8090E10-915F-8140-2DB1-9788DC61C3EA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4332600" y="4208040"/>
              <a:ext cx="1386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238212</xdr:colOff>
      <xdr:row>31</xdr:row>
      <xdr:rowOff>180599</xdr:rowOff>
    </xdr:from>
    <xdr:to>
      <xdr:col>6</xdr:col>
      <xdr:colOff>310932</xdr:colOff>
      <xdr:row>32</xdr:row>
      <xdr:rowOff>165060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9F59440B-362F-1F54-2039-55E6A5E2FF22}"/>
                </a:ext>
                <a:ext uri="{147F2762-F138-4A5C-976F-8EAC2B608ADB}">
                  <a16:predDERef xmlns:a16="http://schemas.microsoft.com/office/drawing/2014/main" pred="{5D1B9C77-0FAD-5276-567B-BC4566E4AA62}"/>
                </a:ext>
              </a:extLst>
            </xdr14:cNvPr>
            <xdr14:cNvContentPartPr/>
          </xdr14:nvContentPartPr>
          <xdr14:nvPr macro=""/>
          <xdr14:xfrm>
            <a:off x="4580793" y="6735438"/>
            <a:ext cx="72720" cy="189299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9F59440B-362F-1F54-2039-55E6A5E2FF22}"/>
                </a:ext>
                <a:ext uri="{147F2762-F138-4A5C-976F-8EAC2B608ADB}">
                  <a16:predDERef xmlns:a16="http://schemas.microsoft.com/office/drawing/2014/main" pred="{5D1B9C77-0FAD-5276-567B-BC4566E4AA62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4314960" y="3979800"/>
              <a:ext cx="9396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218052</xdr:colOff>
      <xdr:row>32</xdr:row>
      <xdr:rowOff>165060</xdr:rowOff>
    </xdr:from>
    <xdr:to>
      <xdr:col>6</xdr:col>
      <xdr:colOff>369252</xdr:colOff>
      <xdr:row>33</xdr:row>
      <xdr:rowOff>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D56174BD-286C-084D-14DB-D6F8D4ADD53C}"/>
                </a:ext>
                <a:ext uri="{147F2762-F138-4A5C-976F-8EAC2B608ADB}">
                  <a16:predDERef xmlns:a16="http://schemas.microsoft.com/office/drawing/2014/main" pred="{9F59440B-362F-1F54-2039-55E6A5E2FF22}"/>
                </a:ext>
              </a:extLst>
            </xdr14:cNvPr>
            <xdr14:cNvContentPartPr/>
          </xdr14:nvContentPartPr>
          <xdr14:nvPr macro=""/>
          <xdr14:xfrm>
            <a:off x="4560633" y="6924737"/>
            <a:ext cx="151200" cy="40259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D56174BD-286C-084D-14DB-D6F8D4ADD53C}"/>
                </a:ext>
                <a:ext uri="{147F2762-F138-4A5C-976F-8EAC2B608ADB}">
                  <a16:predDERef xmlns:a16="http://schemas.microsoft.com/office/drawing/2014/main" pred="{9F59440B-362F-1F54-2039-55E6A5E2FF22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4294800" y="4154760"/>
              <a:ext cx="1724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278892</xdr:colOff>
      <xdr:row>33</xdr:row>
      <xdr:rowOff>20280</xdr:rowOff>
    </xdr:from>
    <xdr:to>
      <xdr:col>6</xdr:col>
      <xdr:colOff>388332</xdr:colOff>
      <xdr:row>33</xdr:row>
      <xdr:rowOff>135120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5DED56DD-3D84-6487-4110-7CE99C3AC615}"/>
                </a:ext>
                <a:ext uri="{147F2762-F138-4A5C-976F-8EAC2B608ADB}">
                  <a16:predDERef xmlns:a16="http://schemas.microsoft.com/office/drawing/2014/main" pred="{D56174BD-286C-084D-14DB-D6F8D4ADD53C}"/>
                </a:ext>
              </a:extLst>
            </xdr14:cNvPr>
            <xdr14:cNvContentPartPr/>
          </xdr14:nvContentPartPr>
          <xdr14:nvPr macro=""/>
          <xdr14:xfrm>
            <a:off x="4621473" y="6984796"/>
            <a:ext cx="109440" cy="11484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DED56DD-3D84-6487-4110-7CE99C3AC615}"/>
                </a:ext>
                <a:ext uri="{147F2762-F138-4A5C-976F-8EAC2B608ADB}">
                  <a16:predDERef xmlns:a16="http://schemas.microsoft.com/office/drawing/2014/main" pred="{D56174BD-286C-084D-14DB-D6F8D4ADD53C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4355640" y="4200480"/>
              <a:ext cx="13068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883512</xdr:colOff>
      <xdr:row>38</xdr:row>
      <xdr:rowOff>177659</xdr:rowOff>
    </xdr:from>
    <xdr:to>
      <xdr:col>1</xdr:col>
      <xdr:colOff>5572</xdr:colOff>
      <xdr:row>39</xdr:row>
      <xdr:rowOff>15600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90FBF99E-FA67-43CA-1C74-70B34317C12D}"/>
                </a:ext>
                <a:ext uri="{147F2762-F138-4A5C-976F-8EAC2B608ADB}">
                  <a16:predDERef xmlns:a16="http://schemas.microsoft.com/office/drawing/2014/main" pred="{5DED56DD-3D84-6487-4110-7CE99C3AC615}"/>
                </a:ext>
              </a:extLst>
            </xdr14:cNvPr>
            <xdr14:cNvContentPartPr/>
          </xdr14:nvContentPartPr>
          <xdr14:nvPr macro=""/>
          <xdr14:xfrm>
            <a:off x="883512" y="8166369"/>
            <a:ext cx="146254" cy="42779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90FBF99E-FA67-43CA-1C74-70B34317C12D}"/>
                </a:ext>
                <a:ext uri="{147F2762-F138-4A5C-976F-8EAC2B608ADB}">
                  <a16:predDERef xmlns:a16="http://schemas.microsoft.com/office/drawing/2014/main" pred="{5DED56DD-3D84-6487-4110-7CE99C3AC615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913680" y="5310360"/>
              <a:ext cx="90720" cy="4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899352</xdr:colOff>
      <xdr:row>39</xdr:row>
      <xdr:rowOff>60960</xdr:rowOff>
    </xdr:from>
    <xdr:to>
      <xdr:col>1</xdr:col>
      <xdr:colOff>12772</xdr:colOff>
      <xdr:row>39</xdr:row>
      <xdr:rowOff>78960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F91133F8-38BF-475C-F70E-16EEC3945367}"/>
                </a:ext>
                <a:ext uri="{147F2762-F138-4A5C-976F-8EAC2B608ADB}">
                  <a16:predDERef xmlns:a16="http://schemas.microsoft.com/office/drawing/2014/main" pred="{90FBF99E-FA67-43CA-1C74-70B34317C12D}"/>
                </a:ext>
              </a:extLst>
            </xdr14:cNvPr>
            <xdr14:cNvContentPartPr/>
          </xdr14:nvContentPartPr>
          <xdr14:nvPr macro=""/>
          <xdr14:xfrm>
            <a:off x="899352" y="8254508"/>
            <a:ext cx="137614" cy="1800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F91133F8-38BF-475C-F70E-16EEC3945367}"/>
                </a:ext>
                <a:ext uri="{147F2762-F138-4A5C-976F-8EAC2B608ADB}">
                  <a16:predDERef xmlns:a16="http://schemas.microsoft.com/office/drawing/2014/main" pred="{90FBF99E-FA67-43CA-1C74-70B34317C12D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929520" y="5384160"/>
              <a:ext cx="8208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174772</xdr:colOff>
      <xdr:row>38</xdr:row>
      <xdr:rowOff>81179</xdr:rowOff>
    </xdr:from>
    <xdr:to>
      <xdr:col>1</xdr:col>
      <xdr:colOff>289612</xdr:colOff>
      <xdr:row>41</xdr:row>
      <xdr:rowOff>66239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80D23A07-CC93-4ABB-243D-B912CBE2A2A6}"/>
                </a:ext>
                <a:ext uri="{147F2762-F138-4A5C-976F-8EAC2B608ADB}">
                  <a16:predDERef xmlns:a16="http://schemas.microsoft.com/office/drawing/2014/main" pred="{F91133F8-38BF-475C-F70E-16EEC3945367}"/>
                </a:ext>
              </a:extLst>
            </xdr14:cNvPr>
            <xdr14:cNvContentPartPr/>
          </xdr14:nvContentPartPr>
          <xdr14:nvPr macro=""/>
          <xdr14:xfrm>
            <a:off x="1198966" y="8069889"/>
            <a:ext cx="114840" cy="599576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80D23A07-CC93-4ABB-243D-B912CBE2A2A6}"/>
                </a:ext>
                <a:ext uri="{147F2762-F138-4A5C-976F-8EAC2B608ADB}">
                  <a16:predDERef xmlns:a16="http://schemas.microsoft.com/office/drawing/2014/main" pred="{F91133F8-38BF-475C-F70E-16EEC3945367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1152360" y="5213880"/>
              <a:ext cx="136080" cy="57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352612</xdr:colOff>
      <xdr:row>38</xdr:row>
      <xdr:rowOff>177659</xdr:rowOff>
    </xdr:from>
    <xdr:to>
      <xdr:col>1</xdr:col>
      <xdr:colOff>431812</xdr:colOff>
      <xdr:row>40</xdr:row>
      <xdr:rowOff>86460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D7775BC-6A40-740D-5CBA-A4C9BE615BDE}"/>
                </a:ext>
                <a:ext uri="{147F2762-F138-4A5C-976F-8EAC2B608ADB}">
                  <a16:predDERef xmlns:a16="http://schemas.microsoft.com/office/drawing/2014/main" pred="{80D23A07-CC93-4ABB-243D-B912CBE2A2A6}"/>
                </a:ext>
              </a:extLst>
            </xdr14:cNvPr>
            <xdr14:cNvContentPartPr/>
          </xdr14:nvContentPartPr>
          <xdr14:nvPr macro=""/>
          <xdr14:xfrm>
            <a:off x="1376806" y="8166369"/>
            <a:ext cx="79200" cy="318478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6D7775BC-6A40-740D-5CBA-A4C9BE615BDE}"/>
                </a:ext>
                <a:ext uri="{147F2762-F138-4A5C-976F-8EAC2B608ADB}">
                  <a16:predDERef xmlns:a16="http://schemas.microsoft.com/office/drawing/2014/main" pred="{80D23A07-CC93-4ABB-243D-B912CBE2A2A6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1330200" y="5310360"/>
              <a:ext cx="100440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367972</xdr:colOff>
      <xdr:row>39</xdr:row>
      <xdr:rowOff>27840</xdr:rowOff>
    </xdr:from>
    <xdr:to>
      <xdr:col>2</xdr:col>
      <xdr:colOff>492892</xdr:colOff>
      <xdr:row>40</xdr:row>
      <xdr:rowOff>96900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FCFA1E9-FFCA-1D26-D040-375D1E0B53A0}"/>
                </a:ext>
                <a:ext uri="{147F2762-F138-4A5C-976F-8EAC2B608ADB}">
                  <a16:predDERef xmlns:a16="http://schemas.microsoft.com/office/drawing/2014/main" pred="{6D7775BC-6A40-740D-5CBA-A4C9BE615BDE}"/>
                </a:ext>
              </a:extLst>
            </xdr14:cNvPr>
            <xdr14:cNvContentPartPr/>
          </xdr14:nvContentPartPr>
          <xdr14:nvPr macro=""/>
          <xdr14:xfrm>
            <a:off x="2047649" y="8221388"/>
            <a:ext cx="124920" cy="273899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FCFA1E9-FFCA-1D26-D040-375D1E0B53A0}"/>
                </a:ext>
                <a:ext uri="{147F2762-F138-4A5C-976F-8EAC2B608ADB}">
                  <a16:predDERef xmlns:a16="http://schemas.microsoft.com/office/drawing/2014/main" pred="{6D7775BC-6A40-740D-5CBA-A4C9BE615BDE}"/>
                </a:ext>
              </a:extLst>
            </xdr:cNvPr>
            <xdr:cNvPicPr/>
          </xdr:nvPicPr>
          <xdr:blipFill>
            <a:blip xmlns:r="http://schemas.openxmlformats.org/officeDocument/2006/relationships" r:embed="rId251"/>
            <a:stretch>
              <a:fillRect/>
            </a:stretch>
          </xdr:blipFill>
          <xdr:spPr>
            <a:xfrm>
              <a:off x="1955160" y="5351040"/>
              <a:ext cx="14616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558412</xdr:colOff>
      <xdr:row>38</xdr:row>
      <xdr:rowOff>84059</xdr:rowOff>
    </xdr:from>
    <xdr:to>
      <xdr:col>3</xdr:col>
      <xdr:colOff>50692</xdr:colOff>
      <xdr:row>38</xdr:row>
      <xdr:rowOff>155339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619186FC-9D65-838D-4023-CCD4129ED88E}"/>
                </a:ext>
                <a:ext uri="{147F2762-F138-4A5C-976F-8EAC2B608ADB}">
                  <a16:predDERef xmlns:a16="http://schemas.microsoft.com/office/drawing/2014/main" pred="{AFCFA1E9-FFCA-1D26-D040-375D1E0B53A0}"/>
                </a:ext>
              </a:extLst>
            </xdr14:cNvPr>
            <xdr14:cNvContentPartPr/>
          </xdr14:nvContentPartPr>
          <xdr14:nvPr macro=""/>
          <xdr14:xfrm>
            <a:off x="2238089" y="8072769"/>
            <a:ext cx="147764" cy="712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619186FC-9D65-838D-4023-CCD4129ED88E}"/>
                </a:ext>
                <a:ext uri="{147F2762-F138-4A5C-976F-8EAC2B608ADB}">
                  <a16:predDERef xmlns:a16="http://schemas.microsoft.com/office/drawing/2014/main" pred="{AFCFA1E9-FFCA-1D26-D040-375D1E0B53A0}"/>
                </a:ext>
              </a:extLst>
            </xdr:cNvPr>
            <xdr:cNvPicPr/>
          </xdr:nvPicPr>
          <xdr:blipFill>
            <a:blip xmlns:r="http://schemas.openxmlformats.org/officeDocument/2006/relationships" r:embed="rId253"/>
            <a:stretch>
              <a:fillRect/>
            </a:stretch>
          </xdr:blipFill>
          <xdr:spPr>
            <a:xfrm>
              <a:off x="2145600" y="5216760"/>
              <a:ext cx="123120" cy="9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134212</xdr:colOff>
      <xdr:row>39</xdr:row>
      <xdr:rowOff>96240</xdr:rowOff>
    </xdr:from>
    <xdr:to>
      <xdr:col>3</xdr:col>
      <xdr:colOff>233572</xdr:colOff>
      <xdr:row>39</xdr:row>
      <xdr:rowOff>149880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C9BE37FD-6F41-5DFA-154F-ED976C588D68}"/>
                </a:ext>
                <a:ext uri="{147F2762-F138-4A5C-976F-8EAC2B608ADB}">
                  <a16:predDERef xmlns:a16="http://schemas.microsoft.com/office/drawing/2014/main" pred="{619186FC-9D65-838D-4023-CCD4129ED88E}"/>
                </a:ext>
              </a:extLst>
            </xdr14:cNvPr>
            <xdr14:cNvContentPartPr/>
          </xdr14:nvContentPartPr>
          <xdr14:nvPr macro=""/>
          <xdr14:xfrm>
            <a:off x="2469373" y="8289788"/>
            <a:ext cx="99360" cy="536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C9BE37FD-6F41-5DFA-154F-ED976C588D68}"/>
                </a:ext>
                <a:ext uri="{147F2762-F138-4A5C-976F-8EAC2B608ADB}">
                  <a16:predDERef xmlns:a16="http://schemas.microsoft.com/office/drawing/2014/main" pred="{619186FC-9D65-838D-4023-CCD4129ED88E}"/>
                </a:ext>
              </a:extLst>
            </xdr:cNvPr>
            <xdr:cNvPicPr/>
          </xdr:nvPicPr>
          <xdr:blipFill>
            <a:blip xmlns:r="http://schemas.openxmlformats.org/officeDocument/2006/relationships" r:embed="rId255"/>
            <a:stretch>
              <a:fillRect/>
            </a:stretch>
          </xdr:blipFill>
          <xdr:spPr>
            <a:xfrm>
              <a:off x="2331000" y="5419800"/>
              <a:ext cx="12060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169852</xdr:colOff>
      <xdr:row>39</xdr:row>
      <xdr:rowOff>76080</xdr:rowOff>
    </xdr:from>
    <xdr:to>
      <xdr:col>3</xdr:col>
      <xdr:colOff>185332</xdr:colOff>
      <xdr:row>39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BC135B82-FD3D-B7D7-102F-1251CB5036C3}"/>
                </a:ext>
                <a:ext uri="{147F2762-F138-4A5C-976F-8EAC2B608ADB}">
                  <a16:predDERef xmlns:a16="http://schemas.microsoft.com/office/drawing/2014/main" pred="{C9BE37FD-6F41-5DFA-154F-ED976C588D68}"/>
                </a:ext>
              </a:extLst>
            </xdr14:cNvPr>
            <xdr14:cNvContentPartPr/>
          </xdr14:nvContentPartPr>
          <xdr14:nvPr macro=""/>
          <xdr14:xfrm>
            <a:off x="2505013" y="8269628"/>
            <a:ext cx="15480" cy="918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BC135B82-FD3D-B7D7-102F-1251CB5036C3}"/>
                </a:ext>
                <a:ext uri="{147F2762-F138-4A5C-976F-8EAC2B608ADB}">
                  <a16:predDERef xmlns:a16="http://schemas.microsoft.com/office/drawing/2014/main" pred="{C9BE37FD-6F41-5DFA-154F-ED976C588D68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2366640" y="5399280"/>
              <a:ext cx="3672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12052</xdr:colOff>
      <xdr:row>38</xdr:row>
      <xdr:rowOff>37979</xdr:rowOff>
    </xdr:from>
    <xdr:to>
      <xdr:col>4</xdr:col>
      <xdr:colOff>22492</xdr:colOff>
      <xdr:row>39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8EBC6640-B3EC-D6FA-8B33-52FBCF025C01}"/>
                </a:ext>
                <a:ext uri="{147F2762-F138-4A5C-976F-8EAC2B608ADB}">
                  <a16:predDERef xmlns:a16="http://schemas.microsoft.com/office/drawing/2014/main" pred="{BC135B82-FD3D-B7D7-102F-1251CB5036C3}"/>
                </a:ext>
              </a:extLst>
            </xdr14:cNvPr>
            <xdr14:cNvContentPartPr/>
          </xdr14:nvContentPartPr>
          <xdr14:nvPr macro=""/>
          <xdr14:xfrm>
            <a:off x="3002697" y="8026689"/>
            <a:ext cx="10440" cy="230699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8EBC6640-B3EC-D6FA-8B33-52FBCF025C01}"/>
                </a:ext>
                <a:ext uri="{147F2762-F138-4A5C-976F-8EAC2B608ADB}">
                  <a16:predDERef xmlns:a16="http://schemas.microsoft.com/office/drawing/2014/main" pred="{BC135B82-FD3D-B7D7-102F-1251CB5036C3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2818800" y="5170680"/>
              <a:ext cx="316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444172</xdr:colOff>
      <xdr:row>39</xdr:row>
      <xdr:rowOff>71040</xdr:rowOff>
    </xdr:from>
    <xdr:to>
      <xdr:col>4</xdr:col>
      <xdr:colOff>226252</xdr:colOff>
      <xdr:row>39</xdr:row>
      <xdr:rowOff>86520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8C76CA30-D17F-3591-772F-713216E6A142}"/>
                </a:ext>
                <a:ext uri="{147F2762-F138-4A5C-976F-8EAC2B608ADB}">
                  <a16:predDERef xmlns:a16="http://schemas.microsoft.com/office/drawing/2014/main" pred="{8EBC6640-B3EC-D6FA-8B33-52FBCF025C01}"/>
                </a:ext>
              </a:extLst>
            </xdr14:cNvPr>
            <xdr14:cNvContentPartPr/>
          </xdr14:nvContentPartPr>
          <xdr14:nvPr macro=""/>
          <xdr14:xfrm>
            <a:off x="2779333" y="8264588"/>
            <a:ext cx="437564" cy="154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8C76CA30-D17F-3591-772F-713216E6A142}"/>
                </a:ext>
                <a:ext uri="{147F2762-F138-4A5C-976F-8EAC2B608ADB}">
                  <a16:predDERef xmlns:a16="http://schemas.microsoft.com/office/drawing/2014/main" pred="{8EBC6640-B3EC-D6FA-8B33-52FBCF025C01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2640960" y="5394240"/>
              <a:ext cx="4129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416092</xdr:colOff>
      <xdr:row>39</xdr:row>
      <xdr:rowOff>165000</xdr:rowOff>
    </xdr:from>
    <xdr:to>
      <xdr:col>3</xdr:col>
      <xdr:colOff>479812</xdr:colOff>
      <xdr:row>41</xdr:row>
      <xdr:rowOff>58679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5665B4C3-C15C-A881-CCF8-B5D3A32F346C}"/>
                </a:ext>
                <a:ext uri="{147F2762-F138-4A5C-976F-8EAC2B608ADB}">
                  <a16:predDERef xmlns:a16="http://schemas.microsoft.com/office/drawing/2014/main" pred="{8C76CA30-D17F-3591-772F-713216E6A142}"/>
                </a:ext>
              </a:extLst>
            </xdr14:cNvPr>
            <xdr14:cNvContentPartPr/>
          </xdr14:nvContentPartPr>
          <xdr14:nvPr macro=""/>
          <xdr14:xfrm>
            <a:off x="2751253" y="8358548"/>
            <a:ext cx="63720" cy="303357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5665B4C3-C15C-A881-CCF8-B5D3A32F346C}"/>
                </a:ext>
                <a:ext uri="{147F2762-F138-4A5C-976F-8EAC2B608ADB}">
                  <a16:predDERef xmlns:a16="http://schemas.microsoft.com/office/drawing/2014/main" pred="{8C76CA30-D17F-3591-772F-713216E6A142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2612880" y="5488200"/>
              <a:ext cx="84960" cy="29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555772</xdr:colOff>
      <xdr:row>39</xdr:row>
      <xdr:rowOff>126840</xdr:rowOff>
    </xdr:from>
    <xdr:to>
      <xdr:col>4</xdr:col>
      <xdr:colOff>37972</xdr:colOff>
      <xdr:row>40</xdr:row>
      <xdr:rowOff>48300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4639163A-698B-5A81-5E04-85274176AE38}"/>
                </a:ext>
                <a:ext uri="{147F2762-F138-4A5C-976F-8EAC2B608ADB}">
                  <a16:predDERef xmlns:a16="http://schemas.microsoft.com/office/drawing/2014/main" pred="{5665B4C3-C15C-A881-CCF8-B5D3A32F346C}"/>
                </a:ext>
              </a:extLst>
            </xdr14:cNvPr>
            <xdr14:cNvContentPartPr/>
          </xdr14:nvContentPartPr>
          <xdr14:nvPr macro=""/>
          <xdr14:xfrm>
            <a:off x="2890933" y="8320388"/>
            <a:ext cx="137684" cy="126299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4639163A-698B-5A81-5E04-85274176AE38}"/>
                </a:ext>
                <a:ext uri="{147F2762-F138-4A5C-976F-8EAC2B608ADB}">
                  <a16:predDERef xmlns:a16="http://schemas.microsoft.com/office/drawing/2014/main" pred="{5665B4C3-C15C-A881-CCF8-B5D3A32F346C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2752560" y="5450040"/>
              <a:ext cx="11304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463252</xdr:colOff>
      <xdr:row>40</xdr:row>
      <xdr:rowOff>63420</xdr:rowOff>
    </xdr:from>
    <xdr:to>
      <xdr:col>4</xdr:col>
      <xdr:colOff>87652</xdr:colOff>
      <xdr:row>40</xdr:row>
      <xdr:rowOff>81420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9D4DFE9-9347-8348-DA7A-718FEE0977B5}"/>
                </a:ext>
                <a:ext uri="{147F2762-F138-4A5C-976F-8EAC2B608ADB}">
                  <a16:predDERef xmlns:a16="http://schemas.microsoft.com/office/drawing/2014/main" pred="{4639163A-698B-5A81-5E04-85274176AE38}"/>
                </a:ext>
              </a:extLst>
            </xdr14:cNvPr>
            <xdr14:cNvContentPartPr/>
          </xdr14:nvContentPartPr>
          <xdr14:nvPr macro=""/>
          <xdr14:xfrm>
            <a:off x="2798413" y="8461807"/>
            <a:ext cx="279884" cy="180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9D4DFE9-9347-8348-DA7A-718FEE0977B5}"/>
                </a:ext>
                <a:ext uri="{147F2762-F138-4A5C-976F-8EAC2B608ADB}">
                  <a16:predDERef xmlns:a16="http://schemas.microsoft.com/office/drawing/2014/main" pred="{4639163A-698B-5A81-5E04-85274176AE38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2660040" y="5577120"/>
              <a:ext cx="2552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464332</xdr:colOff>
      <xdr:row>40</xdr:row>
      <xdr:rowOff>109140</xdr:rowOff>
    </xdr:from>
    <xdr:to>
      <xdr:col>3</xdr:col>
      <xdr:colOff>525532</xdr:colOff>
      <xdr:row>41</xdr:row>
      <xdr:rowOff>15479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680F4498-54D0-B849-F469-7D104BEBE97E}"/>
                </a:ext>
                <a:ext uri="{147F2762-F138-4A5C-976F-8EAC2B608ADB}">
                  <a16:predDERef xmlns:a16="http://schemas.microsoft.com/office/drawing/2014/main" pred="{C9D4DFE9-9347-8348-DA7A-718FEE0977B5}"/>
                </a:ext>
              </a:extLst>
            </xdr14:cNvPr>
            <xdr14:cNvContentPartPr/>
          </xdr14:nvContentPartPr>
          <xdr14:nvPr macro=""/>
          <xdr14:xfrm>
            <a:off x="2799493" y="8507527"/>
            <a:ext cx="61200" cy="111178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680F4498-54D0-B849-F469-7D104BEBE97E}"/>
                </a:ext>
                <a:ext uri="{147F2762-F138-4A5C-976F-8EAC2B608ADB}">
                  <a16:predDERef xmlns:a16="http://schemas.microsoft.com/office/drawing/2014/main" pred="{C9D4DFE9-9347-8348-DA7A-718FEE0977B5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2661120" y="5622840"/>
              <a:ext cx="8244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522652</xdr:colOff>
      <xdr:row>40</xdr:row>
      <xdr:rowOff>162420</xdr:rowOff>
    </xdr:from>
    <xdr:to>
      <xdr:col>3</xdr:col>
      <xdr:colOff>586596</xdr:colOff>
      <xdr:row>40</xdr:row>
      <xdr:rowOff>177900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CFC5D2FA-6D92-123F-9BE9-30B47234E5F2}"/>
                </a:ext>
                <a:ext uri="{147F2762-F138-4A5C-976F-8EAC2B608ADB}">
                  <a16:predDERef xmlns:a16="http://schemas.microsoft.com/office/drawing/2014/main" pred="{680F4498-54D0-B849-F469-7D104BEBE97E}"/>
                </a:ext>
              </a:extLst>
            </xdr14:cNvPr>
            <xdr14:cNvContentPartPr/>
          </xdr14:nvContentPartPr>
          <xdr14:nvPr macro=""/>
          <xdr14:xfrm>
            <a:off x="2857813" y="8560807"/>
            <a:ext cx="102044" cy="154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CFC5D2FA-6D92-123F-9BE9-30B47234E5F2}"/>
                </a:ext>
                <a:ext uri="{147F2762-F138-4A5C-976F-8EAC2B608ADB}">
                  <a16:predDERef xmlns:a16="http://schemas.microsoft.com/office/drawing/2014/main" pred="{680F4498-54D0-B849-F469-7D104BEBE97E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2719800" y="5676120"/>
              <a:ext cx="7740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563332</xdr:colOff>
      <xdr:row>40</xdr:row>
      <xdr:rowOff>149820</xdr:rowOff>
    </xdr:from>
    <xdr:to>
      <xdr:col>4</xdr:col>
      <xdr:colOff>531</xdr:colOff>
      <xdr:row>41</xdr:row>
      <xdr:rowOff>3512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2722849A-0B4D-1F9C-E9EB-57588CD4E69C}"/>
                </a:ext>
                <a:ext uri="{147F2762-F138-4A5C-976F-8EAC2B608ADB}">
                  <a16:predDERef xmlns:a16="http://schemas.microsoft.com/office/drawing/2014/main" pred="{CFC5D2FA-6D92-123F-9BE9-30B47234E5F2}"/>
                </a:ext>
              </a:extLst>
            </xdr14:cNvPr>
            <xdr14:cNvContentPartPr/>
          </xdr14:nvContentPartPr>
          <xdr14:nvPr macro=""/>
          <xdr14:xfrm>
            <a:off x="2898493" y="8548207"/>
            <a:ext cx="56324" cy="58531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2722849A-0B4D-1F9C-E9EB-57588CD4E69C}"/>
                </a:ext>
                <a:ext uri="{147F2762-F138-4A5C-976F-8EAC2B608ADB}">
                  <a16:predDERef xmlns:a16="http://schemas.microsoft.com/office/drawing/2014/main" pred="{CFC5D2FA-6D92-123F-9BE9-30B47234E5F2}"/>
                </a:ext>
              </a:extLst>
            </xdr:cNvPr>
            <xdr:cNvPicPr/>
          </xdr:nvPicPr>
          <xdr:blipFill>
            <a:blip xmlns:r="http://schemas.openxmlformats.org/officeDocument/2006/relationships" r:embed="rId273"/>
            <a:stretch>
              <a:fillRect/>
            </a:stretch>
          </xdr:blipFill>
          <xdr:spPr>
            <a:xfrm>
              <a:off x="2760480" y="5663520"/>
              <a:ext cx="3168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647376</xdr:colOff>
      <xdr:row>40</xdr:row>
      <xdr:rowOff>101580</xdr:rowOff>
    </xdr:from>
    <xdr:to>
      <xdr:col>4</xdr:col>
      <xdr:colOff>53092</xdr:colOff>
      <xdr:row>41</xdr:row>
      <xdr:rowOff>5399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06A32CB-7398-0268-2E5B-D6889CD88E95}"/>
                </a:ext>
                <a:ext uri="{147F2762-F138-4A5C-976F-8EAC2B608ADB}">
                  <a16:predDERef xmlns:a16="http://schemas.microsoft.com/office/drawing/2014/main" pred="{2722849A-0B4D-1F9C-E9EB-57588CD4E69C}"/>
                </a:ext>
              </a:extLst>
            </xdr14:cNvPr>
            <xdr14:cNvContentPartPr/>
          </xdr14:nvContentPartPr>
          <xdr14:nvPr macro=""/>
          <xdr14:xfrm>
            <a:off x="2982537" y="8499967"/>
            <a:ext cx="61200" cy="108658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06A32CB-7398-0268-2E5B-D6889CD88E95}"/>
                </a:ext>
                <a:ext uri="{147F2762-F138-4A5C-976F-8EAC2B608ADB}">
                  <a16:predDERef xmlns:a16="http://schemas.microsoft.com/office/drawing/2014/main" pred="{2722849A-0B4D-1F9C-E9EB-57588CD4E69C}"/>
                </a:ext>
              </a:extLst>
            </xdr:cNvPr>
            <xdr:cNvPicPr/>
          </xdr:nvPicPr>
          <xdr:blipFill>
            <a:blip xmlns:r="http://schemas.openxmlformats.org/officeDocument/2006/relationships" r:embed="rId275"/>
            <a:stretch>
              <a:fillRect/>
            </a:stretch>
          </xdr:blipFill>
          <xdr:spPr>
            <a:xfrm>
              <a:off x="2798280" y="5615280"/>
              <a:ext cx="8244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65692</xdr:colOff>
      <xdr:row>40</xdr:row>
      <xdr:rowOff>114180</xdr:rowOff>
    </xdr:from>
    <xdr:to>
      <xdr:col>4</xdr:col>
      <xdr:colOff>91612</xdr:colOff>
      <xdr:row>40</xdr:row>
      <xdr:rowOff>170340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95FF6119-4F65-3662-2D15-7A928064A1F2}"/>
                </a:ext>
                <a:ext uri="{147F2762-F138-4A5C-976F-8EAC2B608ADB}">
                  <a16:predDERef xmlns:a16="http://schemas.microsoft.com/office/drawing/2014/main" pred="{606A32CB-7398-0268-2E5B-D6889CD88E95}"/>
                </a:ext>
              </a:extLst>
            </xdr14:cNvPr>
            <xdr14:cNvContentPartPr/>
          </xdr14:nvContentPartPr>
          <xdr14:nvPr macro=""/>
          <xdr14:xfrm>
            <a:off x="3056337" y="8512567"/>
            <a:ext cx="25920" cy="5616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95FF6119-4F65-3662-2D15-7A928064A1F2}"/>
                </a:ext>
                <a:ext uri="{147F2762-F138-4A5C-976F-8EAC2B608ADB}">
                  <a16:predDERef xmlns:a16="http://schemas.microsoft.com/office/drawing/2014/main" pred="{606A32CB-7398-0268-2E5B-D6889CD88E95}"/>
                </a:ext>
              </a:extLst>
            </xdr:cNvPr>
            <xdr:cNvPicPr/>
          </xdr:nvPicPr>
          <xdr:blipFill>
            <a:blip xmlns:r="http://schemas.openxmlformats.org/officeDocument/2006/relationships" r:embed="rId277"/>
            <a:stretch>
              <a:fillRect/>
            </a:stretch>
          </xdr:blipFill>
          <xdr:spPr>
            <a:xfrm>
              <a:off x="2872080" y="5627880"/>
              <a:ext cx="471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121492</xdr:colOff>
      <xdr:row>39</xdr:row>
      <xdr:rowOff>157440</xdr:rowOff>
    </xdr:from>
    <xdr:to>
      <xdr:col>4</xdr:col>
      <xdr:colOff>187732</xdr:colOff>
      <xdr:row>41</xdr:row>
      <xdr:rowOff>56159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234BC23B-1F24-603F-5830-5929257BF6C0}"/>
                </a:ext>
                <a:ext uri="{147F2762-F138-4A5C-976F-8EAC2B608ADB}">
                  <a16:predDERef xmlns:a16="http://schemas.microsoft.com/office/drawing/2014/main" pred="{95FF6119-4F65-3662-2D15-7A928064A1F2}"/>
                </a:ext>
              </a:extLst>
            </xdr14:cNvPr>
            <xdr14:cNvContentPartPr/>
          </xdr14:nvContentPartPr>
          <xdr14:nvPr macro=""/>
          <xdr14:xfrm>
            <a:off x="3112137" y="8350988"/>
            <a:ext cx="66240" cy="308397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234BC23B-1F24-603F-5830-5929257BF6C0}"/>
                </a:ext>
                <a:ext uri="{147F2762-F138-4A5C-976F-8EAC2B608ADB}">
                  <a16:predDERef xmlns:a16="http://schemas.microsoft.com/office/drawing/2014/main" pred="{95FF6119-4F65-3662-2D15-7A928064A1F2}"/>
                </a:ext>
              </a:extLst>
            </xdr:cNvPr>
            <xdr:cNvPicPr/>
          </xdr:nvPicPr>
          <xdr:blipFill>
            <a:blip xmlns:r="http://schemas.openxmlformats.org/officeDocument/2006/relationships" r:embed="rId279"/>
            <a:stretch>
              <a:fillRect/>
            </a:stretch>
          </xdr:blipFill>
          <xdr:spPr>
            <a:xfrm>
              <a:off x="2927880" y="5480640"/>
              <a:ext cx="8748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200332</xdr:colOff>
      <xdr:row>39</xdr:row>
      <xdr:rowOff>141960</xdr:rowOff>
    </xdr:from>
    <xdr:to>
      <xdr:col>4</xdr:col>
      <xdr:colOff>282052</xdr:colOff>
      <xdr:row>40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0B3B5F0-5D41-D9D9-8140-EFADB2AD730A}"/>
                </a:ext>
                <a:ext uri="{147F2762-F138-4A5C-976F-8EAC2B608ADB}">
                  <a16:predDERef xmlns:a16="http://schemas.microsoft.com/office/drawing/2014/main" pred="{234BC23B-1F24-603F-5830-5929257BF6C0}"/>
                </a:ext>
              </a:extLst>
            </xdr14:cNvPr>
            <xdr14:cNvContentPartPr/>
          </xdr14:nvContentPartPr>
          <xdr14:nvPr macro=""/>
          <xdr14:xfrm>
            <a:off x="3190977" y="8335508"/>
            <a:ext cx="81720" cy="88499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10B3B5F0-5D41-D9D9-8140-EFADB2AD730A}"/>
                </a:ext>
                <a:ext uri="{147F2762-F138-4A5C-976F-8EAC2B608ADB}">
                  <a16:predDERef xmlns:a16="http://schemas.microsoft.com/office/drawing/2014/main" pred="{234BC23B-1F24-603F-5830-5929257BF6C0}"/>
                </a:ext>
              </a:extLst>
            </xdr:cNvPr>
            <xdr:cNvPicPr/>
          </xdr:nvPicPr>
          <xdr:blipFill>
            <a:blip xmlns:r="http://schemas.openxmlformats.org/officeDocument/2006/relationships" r:embed="rId281"/>
            <a:stretch>
              <a:fillRect/>
            </a:stretch>
          </xdr:blipFill>
          <xdr:spPr>
            <a:xfrm>
              <a:off x="3006720" y="5465520"/>
              <a:ext cx="1029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385732</xdr:colOff>
      <xdr:row>38</xdr:row>
      <xdr:rowOff>48059</xdr:rowOff>
    </xdr:from>
    <xdr:to>
      <xdr:col>4</xdr:col>
      <xdr:colOff>545932</xdr:colOff>
      <xdr:row>41</xdr:row>
      <xdr:rowOff>83879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FF3487E7-7C8D-8F25-B808-DE4A29FF94A2}"/>
                </a:ext>
                <a:ext uri="{147F2762-F138-4A5C-976F-8EAC2B608ADB}">
                  <a16:predDERef xmlns:a16="http://schemas.microsoft.com/office/drawing/2014/main" pred="{10B3B5F0-5D41-D9D9-8140-EFADB2AD730A}"/>
                </a:ext>
              </a:extLst>
            </xdr14:cNvPr>
            <xdr14:cNvContentPartPr/>
          </xdr14:nvContentPartPr>
          <xdr14:nvPr macro=""/>
          <xdr14:xfrm>
            <a:off x="3376377" y="8036769"/>
            <a:ext cx="160200" cy="650336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FF3487E7-7C8D-8F25-B808-DE4A29FF94A2}"/>
                </a:ext>
                <a:ext uri="{147F2762-F138-4A5C-976F-8EAC2B608ADB}">
                  <a16:predDERef xmlns:a16="http://schemas.microsoft.com/office/drawing/2014/main" pred="{10B3B5F0-5D41-D9D9-8140-EFADB2AD730A}"/>
                </a:ext>
              </a:extLst>
            </xdr:cNvPr>
            <xdr:cNvPicPr/>
          </xdr:nvPicPr>
          <xdr:blipFill>
            <a:blip xmlns:r="http://schemas.openxmlformats.org/officeDocument/2006/relationships" r:embed="rId283"/>
            <a:stretch>
              <a:fillRect/>
            </a:stretch>
          </xdr:blipFill>
          <xdr:spPr>
            <a:xfrm>
              <a:off x="3192480" y="5181120"/>
              <a:ext cx="181440" cy="62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57972</xdr:colOff>
      <xdr:row>38</xdr:row>
      <xdr:rowOff>126899</xdr:rowOff>
    </xdr:from>
    <xdr:to>
      <xdr:col>5</xdr:col>
      <xdr:colOff>192972</xdr:colOff>
      <xdr:row>39</xdr:row>
      <xdr:rowOff>56280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A646F9D-441F-0B2B-D469-C25D17278C15}"/>
                </a:ext>
                <a:ext uri="{147F2762-F138-4A5C-976F-8EAC2B608ADB}">
                  <a16:predDERef xmlns:a16="http://schemas.microsoft.com/office/drawing/2014/main" pred="{FF3487E7-7C8D-8F25-B808-DE4A29FF94A2}"/>
                </a:ext>
              </a:extLst>
            </xdr14:cNvPr>
            <xdr14:cNvContentPartPr/>
          </xdr14:nvContentPartPr>
          <xdr14:nvPr macro=""/>
          <xdr14:xfrm>
            <a:off x="3745069" y="8115609"/>
            <a:ext cx="135000" cy="134219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A646F9D-441F-0B2B-D469-C25D17278C15}"/>
                </a:ext>
                <a:ext uri="{147F2762-F138-4A5C-976F-8EAC2B608ADB}">
                  <a16:predDERef xmlns:a16="http://schemas.microsoft.com/office/drawing/2014/main" pred="{FF3487E7-7C8D-8F25-B808-DE4A29FF94A2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3524760" y="5259600"/>
              <a:ext cx="15624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255972</xdr:colOff>
      <xdr:row>38</xdr:row>
      <xdr:rowOff>91259</xdr:rowOff>
    </xdr:from>
    <xdr:to>
      <xdr:col>5</xdr:col>
      <xdr:colOff>378372</xdr:colOff>
      <xdr:row>39</xdr:row>
      <xdr:rowOff>81480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4CC86BDD-789F-41BF-7910-BACD37E9AEB1}"/>
                </a:ext>
                <a:ext uri="{147F2762-F138-4A5C-976F-8EAC2B608ADB}">
                  <a16:predDERef xmlns:a16="http://schemas.microsoft.com/office/drawing/2014/main" pred="{2A646F9D-441F-0B2B-D469-C25D17278C15}"/>
                </a:ext>
              </a:extLst>
            </xdr14:cNvPr>
            <xdr14:cNvContentPartPr/>
          </xdr14:nvContentPartPr>
          <xdr14:nvPr macro=""/>
          <xdr14:xfrm>
            <a:off x="3943069" y="8079969"/>
            <a:ext cx="122400" cy="195059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4CC86BDD-789F-41BF-7910-BACD37E9AEB1}"/>
                </a:ext>
                <a:ext uri="{147F2762-F138-4A5C-976F-8EAC2B608ADB}">
                  <a16:predDERef xmlns:a16="http://schemas.microsoft.com/office/drawing/2014/main" pred="{2A646F9D-441F-0B2B-D469-C25D17278C15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3723120" y="5224320"/>
              <a:ext cx="14364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659024</xdr:colOff>
      <xdr:row>39</xdr:row>
      <xdr:rowOff>106680</xdr:rowOff>
    </xdr:from>
    <xdr:to>
      <xdr:col>5</xdr:col>
      <xdr:colOff>477372</xdr:colOff>
      <xdr:row>39</xdr:row>
      <xdr:rowOff>152760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8CB96846-0067-354B-87C1-A741DFFCAEFB}"/>
                </a:ext>
                <a:ext uri="{147F2762-F138-4A5C-976F-8EAC2B608ADB}">
                  <a16:predDERef xmlns:a16="http://schemas.microsoft.com/office/drawing/2014/main" pred="{4CC86BDD-789F-41BF-7910-BACD37E9AEB1}"/>
                </a:ext>
              </a:extLst>
            </xdr14:cNvPr>
            <xdr14:cNvContentPartPr/>
          </xdr14:nvContentPartPr>
          <xdr14:nvPr macro=""/>
          <xdr14:xfrm>
            <a:off x="3649669" y="8300228"/>
            <a:ext cx="514800" cy="460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8CB96846-0067-354B-87C1-A741DFFCAEFB}"/>
                </a:ext>
                <a:ext uri="{147F2762-F138-4A5C-976F-8EAC2B608ADB}">
                  <a16:predDERef xmlns:a16="http://schemas.microsoft.com/office/drawing/2014/main" pred="{4CC86BDD-789F-41BF-7910-BACD37E9AEB1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3429360" y="5429880"/>
              <a:ext cx="53604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134292</xdr:colOff>
      <xdr:row>40</xdr:row>
      <xdr:rowOff>42900</xdr:rowOff>
    </xdr:from>
    <xdr:to>
      <xdr:col>5</xdr:col>
      <xdr:colOff>270732</xdr:colOff>
      <xdr:row>41</xdr:row>
      <xdr:rowOff>7559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A6C2F9BF-62BF-66C1-439B-EB6630BC8C35}"/>
                </a:ext>
                <a:ext uri="{147F2762-F138-4A5C-976F-8EAC2B608ADB}">
                  <a16:predDERef xmlns:a16="http://schemas.microsoft.com/office/drawing/2014/main" pred="{8CB96846-0067-354B-87C1-A741DFFCAEFB}"/>
                </a:ext>
              </a:extLst>
            </xdr14:cNvPr>
            <xdr14:cNvContentPartPr/>
          </xdr14:nvContentPartPr>
          <xdr14:nvPr macro=""/>
          <xdr14:xfrm>
            <a:off x="3821389" y="8441287"/>
            <a:ext cx="136440" cy="169498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A6C2F9BF-62BF-66C1-439B-EB6630BC8C35}"/>
                </a:ext>
                <a:ext uri="{147F2762-F138-4A5C-976F-8EAC2B608ADB}">
                  <a16:predDERef xmlns:a16="http://schemas.microsoft.com/office/drawing/2014/main" pred="{8CB96846-0067-354B-87C1-A741DFFCAEFB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3601080" y="5556960"/>
              <a:ext cx="15768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596332</xdr:colOff>
      <xdr:row>38</xdr:row>
      <xdr:rowOff>93779</xdr:rowOff>
    </xdr:from>
    <xdr:to>
      <xdr:col>5</xdr:col>
      <xdr:colOff>7572</xdr:colOff>
      <xdr:row>40</xdr:row>
      <xdr:rowOff>126420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17F64378-A931-EB3B-4C12-E2AD913D76BC}"/>
                </a:ext>
                <a:ext uri="{147F2762-F138-4A5C-976F-8EAC2B608ADB}">
                  <a16:predDERef xmlns:a16="http://schemas.microsoft.com/office/drawing/2014/main" pred="{A6C2F9BF-62BF-66C1-439B-EB6630BC8C35}"/>
                </a:ext>
              </a:extLst>
            </xdr14:cNvPr>
            <xdr14:cNvContentPartPr/>
          </xdr14:nvContentPartPr>
          <xdr14:nvPr macro=""/>
          <xdr14:xfrm>
            <a:off x="3586977" y="8082489"/>
            <a:ext cx="107692" cy="442318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17F64378-A931-EB3B-4C12-E2AD913D76BC}"/>
                </a:ext>
                <a:ext uri="{147F2762-F138-4A5C-976F-8EAC2B608ADB}">
                  <a16:predDERef xmlns:a16="http://schemas.microsoft.com/office/drawing/2014/main" pred="{A6C2F9BF-62BF-66C1-439B-EB6630BC8C35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3403080" y="5226840"/>
              <a:ext cx="92880" cy="43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484572</xdr:colOff>
      <xdr:row>38</xdr:row>
      <xdr:rowOff>152099</xdr:rowOff>
    </xdr:from>
    <xdr:to>
      <xdr:col>5</xdr:col>
      <xdr:colOff>586181</xdr:colOff>
      <xdr:row>40</xdr:row>
      <xdr:rowOff>137220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3AE01944-9C0F-CB44-297A-10D09DFB354C}"/>
                </a:ext>
                <a:ext uri="{147F2762-F138-4A5C-976F-8EAC2B608ADB}">
                  <a16:predDERef xmlns:a16="http://schemas.microsoft.com/office/drawing/2014/main" pred="{17F64378-A931-EB3B-4C12-E2AD913D76BC}"/>
                </a:ext>
              </a:extLst>
            </xdr14:cNvPr>
            <xdr14:cNvContentPartPr/>
          </xdr14:nvContentPartPr>
          <xdr14:nvPr macro=""/>
          <xdr14:xfrm>
            <a:off x="4171669" y="8140809"/>
            <a:ext cx="168284" cy="394798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3AE01944-9C0F-CB44-297A-10D09DFB354C}"/>
                </a:ext>
                <a:ext uri="{147F2762-F138-4A5C-976F-8EAC2B608ADB}">
                  <a16:predDERef xmlns:a16="http://schemas.microsoft.com/office/drawing/2014/main" pred="{17F64378-A931-EB3B-4C12-E2AD913D76BC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3951720" y="5285160"/>
              <a:ext cx="143640" cy="38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27612</xdr:colOff>
      <xdr:row>38</xdr:row>
      <xdr:rowOff>55619</xdr:rowOff>
    </xdr:from>
    <xdr:to>
      <xdr:col>6</xdr:col>
      <xdr:colOff>123372</xdr:colOff>
      <xdr:row>38</xdr:row>
      <xdr:rowOff>134819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1AA9750C-5AB2-C228-7199-C673A4221124}"/>
                </a:ext>
                <a:ext uri="{147F2762-F138-4A5C-976F-8EAC2B608ADB}">
                  <a16:predDERef xmlns:a16="http://schemas.microsoft.com/office/drawing/2014/main" pred="{3AE01944-9C0F-CB44-297A-10D09DFB354C}"/>
                </a:ext>
              </a:extLst>
            </xdr14:cNvPr>
            <xdr14:cNvContentPartPr/>
          </xdr14:nvContentPartPr>
          <xdr14:nvPr macro=""/>
          <xdr14:xfrm>
            <a:off x="4370193" y="8044329"/>
            <a:ext cx="95760" cy="792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1AA9750C-5AB2-C228-7199-C673A4221124}"/>
                </a:ext>
                <a:ext uri="{147F2762-F138-4A5C-976F-8EAC2B608ADB}">
                  <a16:predDERef xmlns:a16="http://schemas.microsoft.com/office/drawing/2014/main" pred="{3AE01944-9C0F-CB44-297A-10D09DFB354C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4104000" y="5188680"/>
              <a:ext cx="11700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139212</xdr:colOff>
      <xdr:row>39</xdr:row>
      <xdr:rowOff>111720</xdr:rowOff>
    </xdr:from>
    <xdr:to>
      <xdr:col>6</xdr:col>
      <xdr:colOff>228492</xdr:colOff>
      <xdr:row>39</xdr:row>
      <xdr:rowOff>147720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8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C91454D5-BDD7-80C2-C9E9-A0434E98DD4B}"/>
                </a:ext>
                <a:ext uri="{147F2762-F138-4A5C-976F-8EAC2B608ADB}">
                  <a16:predDERef xmlns:a16="http://schemas.microsoft.com/office/drawing/2014/main" pred="{1AA9750C-5AB2-C228-7199-C673A4221124}"/>
                </a:ext>
              </a:extLst>
            </xdr14:cNvPr>
            <xdr14:cNvContentPartPr/>
          </xdr14:nvContentPartPr>
          <xdr14:nvPr macro=""/>
          <xdr14:xfrm>
            <a:off x="4481793" y="8305268"/>
            <a:ext cx="89280" cy="3600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C91454D5-BDD7-80C2-C9E9-A0434E98DD4B}"/>
                </a:ext>
                <a:ext uri="{147F2762-F138-4A5C-976F-8EAC2B608ADB}">
                  <a16:predDERef xmlns:a16="http://schemas.microsoft.com/office/drawing/2014/main" pred="{1AA9750C-5AB2-C228-7199-C673A4221124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4215600" y="5434920"/>
              <a:ext cx="11052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174852</xdr:colOff>
      <xdr:row>39</xdr:row>
      <xdr:rowOff>76080</xdr:rowOff>
    </xdr:from>
    <xdr:to>
      <xdr:col>6</xdr:col>
      <xdr:colOff>182772</xdr:colOff>
      <xdr:row>40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35754FA-832A-BAE5-0C77-DDCB52348FCE}"/>
                </a:ext>
                <a:ext uri="{147F2762-F138-4A5C-976F-8EAC2B608ADB}">
                  <a16:predDERef xmlns:a16="http://schemas.microsoft.com/office/drawing/2014/main" pred="{C91454D5-BDD7-80C2-C9E9-A0434E98DD4B}"/>
                </a:ext>
              </a:extLst>
            </xdr14:cNvPr>
            <xdr14:cNvContentPartPr/>
          </xdr14:nvContentPartPr>
          <xdr14:nvPr macro=""/>
          <xdr14:xfrm>
            <a:off x="4517433" y="8269628"/>
            <a:ext cx="7920" cy="134579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35754FA-832A-BAE5-0C77-DDCB52348FCE}"/>
                </a:ext>
                <a:ext uri="{147F2762-F138-4A5C-976F-8EAC2B608ADB}">
                  <a16:predDERef xmlns:a16="http://schemas.microsoft.com/office/drawing/2014/main" pred="{C91454D5-BDD7-80C2-C9E9-A0434E98DD4B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4251240" y="5399280"/>
              <a:ext cx="2916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256212</xdr:colOff>
      <xdr:row>38</xdr:row>
      <xdr:rowOff>126899</xdr:rowOff>
    </xdr:from>
    <xdr:to>
      <xdr:col>6</xdr:col>
      <xdr:colOff>360612</xdr:colOff>
      <xdr:row>41</xdr:row>
      <xdr:rowOff>38879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2A80A7C3-BBB3-7301-6DFB-739E6F7F3839}"/>
                </a:ext>
                <a:ext uri="{147F2762-F138-4A5C-976F-8EAC2B608ADB}">
                  <a16:predDERef xmlns:a16="http://schemas.microsoft.com/office/drawing/2014/main" pred="{835754FA-832A-BAE5-0C77-DDCB52348FCE}"/>
                </a:ext>
              </a:extLst>
            </xdr14:cNvPr>
            <xdr14:cNvContentPartPr/>
          </xdr14:nvContentPartPr>
          <xdr14:nvPr macro=""/>
          <xdr14:xfrm>
            <a:off x="4598793" y="8115609"/>
            <a:ext cx="104400" cy="526496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2A80A7C3-BBB3-7301-6DFB-739E6F7F3839}"/>
                </a:ext>
                <a:ext uri="{147F2762-F138-4A5C-976F-8EAC2B608ADB}">
                  <a16:predDERef xmlns:a16="http://schemas.microsoft.com/office/drawing/2014/main" pred="{835754FA-832A-BAE5-0C77-DDCB52348FCE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4332600" y="5259600"/>
              <a:ext cx="12564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479412</xdr:colOff>
      <xdr:row>38</xdr:row>
      <xdr:rowOff>147059</xdr:rowOff>
    </xdr:from>
    <xdr:to>
      <xdr:col>7</xdr:col>
      <xdr:colOff>1483</xdr:colOff>
      <xdr:row>39</xdr:row>
      <xdr:rowOff>89040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4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FFFEE5CF-928D-2CE8-23EB-E0FF87645E2C}"/>
                </a:ext>
                <a:ext uri="{147F2762-F138-4A5C-976F-8EAC2B608ADB}">
                  <a16:predDERef xmlns:a16="http://schemas.microsoft.com/office/drawing/2014/main" pred="{2A80A7C3-BBB3-7301-6DFB-739E6F7F3839}"/>
                </a:ext>
              </a:extLst>
            </xdr14:cNvPr>
            <xdr14:cNvContentPartPr/>
          </xdr14:nvContentPartPr>
          <xdr14:nvPr macro=""/>
          <xdr14:xfrm>
            <a:off x="4821993" y="8135769"/>
            <a:ext cx="207871" cy="146819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FFFEE5CF-928D-2CE8-23EB-E0FF87645E2C}"/>
                </a:ext>
                <a:ext uri="{147F2762-F138-4A5C-976F-8EAC2B608ADB}">
                  <a16:predDERef xmlns:a16="http://schemas.microsoft.com/office/drawing/2014/main" pred="{2A80A7C3-BBB3-7301-6DFB-739E6F7F3839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4556160" y="5280120"/>
              <a:ext cx="18036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52752</xdr:colOff>
      <xdr:row>38</xdr:row>
      <xdr:rowOff>134459</xdr:rowOff>
    </xdr:from>
    <xdr:to>
      <xdr:col>7</xdr:col>
      <xdr:colOff>144552</xdr:colOff>
      <xdr:row>39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8B01C615-7DA0-80F0-82DD-1F169DEBD4D0}"/>
                </a:ext>
                <a:ext uri="{147F2762-F138-4A5C-976F-8EAC2B608ADB}">
                  <a16:predDERef xmlns:a16="http://schemas.microsoft.com/office/drawing/2014/main" pred="{FFFEE5CF-928D-2CE8-23EB-E0FF87645E2C}"/>
                </a:ext>
              </a:extLst>
            </xdr14:cNvPr>
            <xdr14:cNvContentPartPr/>
          </xdr14:nvContentPartPr>
          <xdr14:nvPr macro=""/>
          <xdr14:xfrm>
            <a:off x="5091784" y="8123169"/>
            <a:ext cx="91800" cy="169499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8B01C615-7DA0-80F0-82DD-1F169DEBD4D0}"/>
                </a:ext>
                <a:ext uri="{147F2762-F138-4A5C-976F-8EAC2B608ADB}">
                  <a16:predDERef xmlns:a16="http://schemas.microsoft.com/office/drawing/2014/main" pred="{FFFEE5CF-928D-2CE8-23EB-E0FF87645E2C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4777200" y="5267160"/>
              <a:ext cx="11304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172272</xdr:colOff>
      <xdr:row>38</xdr:row>
      <xdr:rowOff>190259</xdr:rowOff>
    </xdr:from>
    <xdr:to>
      <xdr:col>7</xdr:col>
      <xdr:colOff>220872</xdr:colOff>
      <xdr:row>39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7725CFDC-46C4-1846-EEA4-61411375A5C6}"/>
                </a:ext>
                <a:ext uri="{147F2762-F138-4A5C-976F-8EAC2B608ADB}">
                  <a16:predDERef xmlns:a16="http://schemas.microsoft.com/office/drawing/2014/main" pred="{8B01C615-7DA0-80F0-82DD-1F169DEBD4D0}"/>
                </a:ext>
              </a:extLst>
            </xdr14:cNvPr>
            <xdr14:cNvContentPartPr/>
          </xdr14:nvContentPartPr>
          <xdr14:nvPr macro=""/>
          <xdr14:xfrm>
            <a:off x="5211304" y="8178969"/>
            <a:ext cx="48600" cy="27299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7725CFDC-46C4-1846-EEA4-61411375A5C6}"/>
                </a:ext>
                <a:ext uri="{147F2762-F138-4A5C-976F-8EAC2B608ADB}">
                  <a16:predDERef xmlns:a16="http://schemas.microsoft.com/office/drawing/2014/main" pred="{8B01C615-7DA0-80F0-82DD-1F169DEBD4D0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4896360" y="5323320"/>
              <a:ext cx="6984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189912</xdr:colOff>
      <xdr:row>38</xdr:row>
      <xdr:rowOff>162539</xdr:rowOff>
    </xdr:from>
    <xdr:to>
      <xdr:col>7</xdr:col>
      <xdr:colOff>210432</xdr:colOff>
      <xdr:row>39</xdr:row>
      <xdr:rowOff>52320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CE03158E-AD4C-FAF8-8C8C-2F40E6BBF6B8}"/>
                </a:ext>
                <a:ext uri="{147F2762-F138-4A5C-976F-8EAC2B608ADB}">
                  <a16:predDERef xmlns:a16="http://schemas.microsoft.com/office/drawing/2014/main" pred="{7725CFDC-46C4-1846-EEA4-61411375A5C6}"/>
                </a:ext>
              </a:extLst>
            </xdr14:cNvPr>
            <xdr14:cNvContentPartPr/>
          </xdr14:nvContentPartPr>
          <xdr14:nvPr macro=""/>
          <xdr14:xfrm>
            <a:off x="5228944" y="8151249"/>
            <a:ext cx="20520" cy="94619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CE03158E-AD4C-FAF8-8C8C-2F40E6BBF6B8}"/>
                </a:ext>
                <a:ext uri="{147F2762-F138-4A5C-976F-8EAC2B608ADB}">
                  <a16:predDERef xmlns:a16="http://schemas.microsoft.com/office/drawing/2014/main" pred="{7725CFDC-46C4-1846-EEA4-61411375A5C6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4914360" y="5295240"/>
              <a:ext cx="4176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251112</xdr:colOff>
      <xdr:row>38</xdr:row>
      <xdr:rowOff>91259</xdr:rowOff>
    </xdr:from>
    <xdr:to>
      <xdr:col>7</xdr:col>
      <xdr:colOff>337872</xdr:colOff>
      <xdr:row>39</xdr:row>
      <xdr:rowOff>45480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8D137AE-35BF-A84D-FBCB-3FFBAEF62E1F}"/>
                </a:ext>
                <a:ext uri="{147F2762-F138-4A5C-976F-8EAC2B608ADB}">
                  <a16:predDERef xmlns:a16="http://schemas.microsoft.com/office/drawing/2014/main" pred="{CE03158E-AD4C-FAF8-8C8C-2F40E6BBF6B8}"/>
                </a:ext>
              </a:extLst>
            </xdr14:cNvPr>
            <xdr14:cNvContentPartPr/>
          </xdr14:nvContentPartPr>
          <xdr14:nvPr macro=""/>
          <xdr14:xfrm>
            <a:off x="5290144" y="8079969"/>
            <a:ext cx="86760" cy="159059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88D137AE-35BF-A84D-FBCB-3FFBAEF62E1F}"/>
                </a:ext>
                <a:ext uri="{147F2762-F138-4A5C-976F-8EAC2B608ADB}">
                  <a16:predDERef xmlns:a16="http://schemas.microsoft.com/office/drawing/2014/main" pred="{CE03158E-AD4C-FAF8-8C8C-2F40E6BBF6B8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4975200" y="5224320"/>
              <a:ext cx="10800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352632</xdr:colOff>
      <xdr:row>38</xdr:row>
      <xdr:rowOff>172619</xdr:rowOff>
    </xdr:from>
    <xdr:to>
      <xdr:col>7</xdr:col>
      <xdr:colOff>423912</xdr:colOff>
      <xdr:row>39</xdr:row>
      <xdr:rowOff>33240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4F8258AC-3AFF-08CA-EC20-9676D282C9E2}"/>
                </a:ext>
                <a:ext uri="{147F2762-F138-4A5C-976F-8EAC2B608ADB}">
                  <a16:predDERef xmlns:a16="http://schemas.microsoft.com/office/drawing/2014/main" pred="{88D137AE-35BF-A84D-FBCB-3FFBAEF62E1F}"/>
                </a:ext>
              </a:extLst>
            </xdr14:cNvPr>
            <xdr14:cNvContentPartPr/>
          </xdr14:nvContentPartPr>
          <xdr14:nvPr macro=""/>
          <xdr14:xfrm>
            <a:off x="5391664" y="8161329"/>
            <a:ext cx="71280" cy="65459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4F8258AC-3AFF-08CA-EC20-9676D282C9E2}"/>
                </a:ext>
                <a:ext uri="{147F2762-F138-4A5C-976F-8EAC2B608ADB}">
                  <a16:predDERef xmlns:a16="http://schemas.microsoft.com/office/drawing/2014/main" pred="{88D137AE-35BF-A84D-FBCB-3FFBAEF62E1F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5076720" y="5305320"/>
              <a:ext cx="92520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9552</xdr:colOff>
      <xdr:row>38</xdr:row>
      <xdr:rowOff>71099</xdr:rowOff>
    </xdr:from>
    <xdr:to>
      <xdr:col>7</xdr:col>
      <xdr:colOff>101352</xdr:colOff>
      <xdr:row>39</xdr:row>
      <xdr:rowOff>132600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DB1A81E9-6FEF-D2DD-4363-DE46D54F9B2C}"/>
                </a:ext>
                <a:ext uri="{147F2762-F138-4A5C-976F-8EAC2B608ADB}">
                  <a16:predDERef xmlns:a16="http://schemas.microsoft.com/office/drawing/2014/main" pred="{4F8258AC-3AFF-08CA-EC20-9676D282C9E2}"/>
                </a:ext>
              </a:extLst>
            </xdr14:cNvPr>
            <xdr14:cNvContentPartPr/>
          </xdr14:nvContentPartPr>
          <xdr14:nvPr macro=""/>
          <xdr14:xfrm>
            <a:off x="5048584" y="8059809"/>
            <a:ext cx="91800" cy="266339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DB1A81E9-6FEF-D2DD-4363-DE46D54F9B2C}"/>
                </a:ext>
                <a:ext uri="{147F2762-F138-4A5C-976F-8EAC2B608ADB}">
                  <a16:predDERef xmlns:a16="http://schemas.microsoft.com/office/drawing/2014/main" pred="{4F8258AC-3AFF-08CA-EC20-9676D282C9E2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4734000" y="5203800"/>
              <a:ext cx="113040" cy="27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522912</xdr:colOff>
      <xdr:row>38</xdr:row>
      <xdr:rowOff>58139</xdr:rowOff>
    </xdr:from>
    <xdr:to>
      <xdr:col>8</xdr:col>
      <xdr:colOff>3619</xdr:colOff>
      <xdr:row>39</xdr:row>
      <xdr:rowOff>122160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4CBF6629-0691-C0DB-1ED3-1DA8AC9C2EBC}"/>
                </a:ext>
                <a:ext uri="{147F2762-F138-4A5C-976F-8EAC2B608ADB}">
                  <a16:predDERef xmlns:a16="http://schemas.microsoft.com/office/drawing/2014/main" pred="{DB1A81E9-6FEF-D2DD-4363-DE46D54F9B2C}"/>
                </a:ext>
              </a:extLst>
            </xdr14:cNvPr>
            <xdr14:cNvContentPartPr/>
          </xdr14:nvContentPartPr>
          <xdr14:nvPr macro=""/>
          <xdr14:xfrm>
            <a:off x="5561944" y="8046849"/>
            <a:ext cx="137932" cy="268859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4CBF6629-0691-C0DB-1ED3-1DA8AC9C2EBC}"/>
                </a:ext>
                <a:ext uri="{147F2762-F138-4A5C-976F-8EAC2B608ADB}">
                  <a16:predDERef xmlns:a16="http://schemas.microsoft.com/office/drawing/2014/main" pred="{DB1A81E9-6FEF-D2DD-4363-DE46D54F9B2C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5247000" y="5191200"/>
              <a:ext cx="12312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390492</xdr:colOff>
      <xdr:row>39</xdr:row>
      <xdr:rowOff>165000</xdr:rowOff>
    </xdr:from>
    <xdr:to>
      <xdr:col>7</xdr:col>
      <xdr:colOff>421392</xdr:colOff>
      <xdr:row>39</xdr:row>
      <xdr:rowOff>183000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77BE8D27-5CCD-1F71-B7CF-EFAEB00BD639}"/>
                </a:ext>
                <a:ext uri="{147F2762-F138-4A5C-976F-8EAC2B608ADB}">
                  <a16:predDERef xmlns:a16="http://schemas.microsoft.com/office/drawing/2014/main" pred="{4CBF6629-0691-C0DB-1ED3-1DA8AC9C2EBC}"/>
                </a:ext>
              </a:extLst>
            </xdr14:cNvPr>
            <xdr14:cNvContentPartPr/>
          </xdr14:nvContentPartPr>
          <xdr14:nvPr macro=""/>
          <xdr14:xfrm>
            <a:off x="4733073" y="8358548"/>
            <a:ext cx="727351" cy="1800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77BE8D27-5CCD-1F71-B7CF-EFAEB00BD639}"/>
                </a:ext>
                <a:ext uri="{147F2762-F138-4A5C-976F-8EAC2B608ADB}">
                  <a16:predDERef xmlns:a16="http://schemas.microsoft.com/office/drawing/2014/main" pred="{4CBF6629-0691-C0DB-1ED3-1DA8AC9C2EBC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4467240" y="5488200"/>
              <a:ext cx="69984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517572</xdr:colOff>
      <xdr:row>40</xdr:row>
      <xdr:rowOff>81060</xdr:rowOff>
    </xdr:from>
    <xdr:to>
      <xdr:col>7</xdr:col>
      <xdr:colOff>1450</xdr:colOff>
      <xdr:row>41</xdr:row>
      <xdr:rowOff>61199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8EA4FD70-F635-5B23-C9D5-B10D20DD4B4B}"/>
                </a:ext>
                <a:ext uri="{147F2762-F138-4A5C-976F-8EAC2B608ADB}">
                  <a16:predDERef xmlns:a16="http://schemas.microsoft.com/office/drawing/2014/main" pred="{77BE8D27-5CCD-1F71-B7CF-EFAEB00BD639}"/>
                </a:ext>
              </a:extLst>
            </xdr14:cNvPr>
            <xdr14:cNvContentPartPr/>
          </xdr14:nvContentPartPr>
          <xdr14:nvPr macro=""/>
          <xdr14:xfrm>
            <a:off x="4860153" y="8479447"/>
            <a:ext cx="155671" cy="184978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8EA4FD70-F635-5B23-C9D5-B10D20DD4B4B}"/>
                </a:ext>
                <a:ext uri="{147F2762-F138-4A5C-976F-8EAC2B608ADB}">
                  <a16:predDERef xmlns:a16="http://schemas.microsoft.com/office/drawing/2014/main" pred="{77BE8D27-5CCD-1F71-B7CF-EFAEB00BD639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4594320" y="5595120"/>
              <a:ext cx="12816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695923</xdr:colOff>
      <xdr:row>40</xdr:row>
      <xdr:rowOff>131820</xdr:rowOff>
    </xdr:from>
    <xdr:to>
      <xdr:col>7</xdr:col>
      <xdr:colOff>65712</xdr:colOff>
      <xdr:row>40</xdr:row>
      <xdr:rowOff>165300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BAA3015C-6BFF-E680-6E63-A81FDF6AA66E}"/>
                </a:ext>
                <a:ext uri="{147F2762-F138-4A5C-976F-8EAC2B608ADB}">
                  <a16:predDERef xmlns:a16="http://schemas.microsoft.com/office/drawing/2014/main" pred="{8EA4FD70-F635-5B23-C9D5-B10D20DD4B4B}"/>
                </a:ext>
              </a:extLst>
            </xdr14:cNvPr>
            <xdr14:cNvContentPartPr/>
          </xdr14:nvContentPartPr>
          <xdr14:nvPr macro=""/>
          <xdr14:xfrm>
            <a:off x="5038504" y="8530207"/>
            <a:ext cx="66240" cy="3348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BAA3015C-6BFF-E680-6E63-A81FDF6AA66E}"/>
                </a:ext>
                <a:ext uri="{147F2762-F138-4A5C-976F-8EAC2B608ADB}">
                  <a16:predDERef xmlns:a16="http://schemas.microsoft.com/office/drawing/2014/main" pred="{8EA4FD70-F635-5B23-C9D5-B10D20DD4B4B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4723920" y="5645880"/>
              <a:ext cx="8748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37632</xdr:colOff>
      <xdr:row>40</xdr:row>
      <xdr:rowOff>126780</xdr:rowOff>
    </xdr:from>
    <xdr:to>
      <xdr:col>7</xdr:col>
      <xdr:colOff>45552</xdr:colOff>
      <xdr:row>41</xdr:row>
      <xdr:rowOff>20519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117FDFE-AFCB-B7D9-FA79-9A2D3198D379}"/>
                </a:ext>
                <a:ext uri="{147F2762-F138-4A5C-976F-8EAC2B608ADB}">
                  <a16:predDERef xmlns:a16="http://schemas.microsoft.com/office/drawing/2014/main" pred="{BAA3015C-6BFF-E680-6E63-A81FDF6AA66E}"/>
                </a:ext>
              </a:extLst>
            </xdr14:cNvPr>
            <xdr14:cNvContentPartPr/>
          </xdr14:nvContentPartPr>
          <xdr14:nvPr macro=""/>
          <xdr14:xfrm>
            <a:off x="5076664" y="8525167"/>
            <a:ext cx="7920" cy="98578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3117FDFE-AFCB-B7D9-FA79-9A2D3198D379}"/>
                </a:ext>
                <a:ext uri="{147F2762-F138-4A5C-976F-8EAC2B608ADB}">
                  <a16:predDERef xmlns:a16="http://schemas.microsoft.com/office/drawing/2014/main" pred="{BAA3015C-6BFF-E680-6E63-A81FDF6AA66E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4761720" y="5640840"/>
              <a:ext cx="2916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93432</xdr:colOff>
      <xdr:row>40</xdr:row>
      <xdr:rowOff>79620</xdr:rowOff>
    </xdr:from>
    <xdr:to>
      <xdr:col>7</xdr:col>
      <xdr:colOff>175152</xdr:colOff>
      <xdr:row>41</xdr:row>
      <xdr:rowOff>37799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9C529CDA-50A9-3104-4678-66F2F4124666}"/>
                </a:ext>
                <a:ext uri="{147F2762-F138-4A5C-976F-8EAC2B608ADB}">
                  <a16:predDERef xmlns:a16="http://schemas.microsoft.com/office/drawing/2014/main" pred="{3117FDFE-AFCB-B7D9-FA79-9A2D3198D379}"/>
                </a:ext>
              </a:extLst>
            </xdr14:cNvPr>
            <xdr14:cNvContentPartPr/>
          </xdr14:nvContentPartPr>
          <xdr14:nvPr macro=""/>
          <xdr14:xfrm>
            <a:off x="5132464" y="8478007"/>
            <a:ext cx="81720" cy="163018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9C529CDA-50A9-3104-4678-66F2F4124666}"/>
                </a:ext>
                <a:ext uri="{147F2762-F138-4A5C-976F-8EAC2B608ADB}">
                  <a16:predDERef xmlns:a16="http://schemas.microsoft.com/office/drawing/2014/main" pred="{3117FDFE-AFCB-B7D9-FA79-9A2D3198D379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4817880" y="5593680"/>
              <a:ext cx="10296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215472</xdr:colOff>
      <xdr:row>40</xdr:row>
      <xdr:rowOff>165300</xdr:rowOff>
    </xdr:from>
    <xdr:to>
      <xdr:col>7</xdr:col>
      <xdr:colOff>261552</xdr:colOff>
      <xdr:row>41</xdr:row>
      <xdr:rowOff>23039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8B536994-0084-7A4F-D0DA-29CF8EA2EC47}"/>
                </a:ext>
                <a:ext uri="{147F2762-F138-4A5C-976F-8EAC2B608ADB}">
                  <a16:predDERef xmlns:a16="http://schemas.microsoft.com/office/drawing/2014/main" pred="{9C529CDA-50A9-3104-4678-66F2F4124666}"/>
                </a:ext>
              </a:extLst>
            </xdr14:cNvPr>
            <xdr14:cNvContentPartPr/>
          </xdr14:nvContentPartPr>
          <xdr14:nvPr macro=""/>
          <xdr14:xfrm>
            <a:off x="5254504" y="8563687"/>
            <a:ext cx="46080" cy="62578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8B536994-0084-7A4F-D0DA-29CF8EA2EC47}"/>
                </a:ext>
                <a:ext uri="{147F2762-F138-4A5C-976F-8EAC2B608ADB}">
                  <a16:predDERef xmlns:a16="http://schemas.microsoft.com/office/drawing/2014/main" pred="{9C529CDA-50A9-3104-4678-66F2F4124666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4939560" y="5679000"/>
              <a:ext cx="67320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553152</xdr:colOff>
      <xdr:row>38</xdr:row>
      <xdr:rowOff>37979</xdr:rowOff>
    </xdr:from>
    <xdr:to>
      <xdr:col>8</xdr:col>
      <xdr:colOff>81032</xdr:colOff>
      <xdr:row>41</xdr:row>
      <xdr:rowOff>80279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7D522835-E385-AC61-92FD-6C1072D6AE44}"/>
                </a:ext>
                <a:ext uri="{147F2762-F138-4A5C-976F-8EAC2B608ADB}">
                  <a16:predDERef xmlns:a16="http://schemas.microsoft.com/office/drawing/2014/main" pred="{8B536994-0084-7A4F-D0DA-29CF8EA2EC47}"/>
                </a:ext>
              </a:extLst>
            </xdr14:cNvPr>
            <xdr14:cNvContentPartPr/>
          </xdr14:nvContentPartPr>
          <xdr14:nvPr macro=""/>
          <xdr14:xfrm>
            <a:off x="5592184" y="8026689"/>
            <a:ext cx="224332" cy="656816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7D522835-E385-AC61-92FD-6C1072D6AE44}"/>
                </a:ext>
                <a:ext uri="{147F2762-F138-4A5C-976F-8EAC2B608ADB}">
                  <a16:predDERef xmlns:a16="http://schemas.microsoft.com/office/drawing/2014/main" pred="{8B536994-0084-7A4F-D0DA-29CF8EA2EC47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5277600" y="5170680"/>
              <a:ext cx="209520" cy="63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144392</xdr:colOff>
      <xdr:row>38</xdr:row>
      <xdr:rowOff>96299</xdr:rowOff>
    </xdr:from>
    <xdr:to>
      <xdr:col>8</xdr:col>
      <xdr:colOff>241232</xdr:colOff>
      <xdr:row>39</xdr:row>
      <xdr:rowOff>1833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AA98BA0D-F6E0-8E15-2A9E-AC0FEDAA54D7}"/>
                </a:ext>
                <a:ext uri="{147F2762-F138-4A5C-976F-8EAC2B608ADB}">
                  <a16:predDERef xmlns:a16="http://schemas.microsoft.com/office/drawing/2014/main" pred="{7D522835-E385-AC61-92FD-6C1072D6AE44}"/>
                </a:ext>
              </a:extLst>
            </xdr14:cNvPr>
            <xdr14:cNvContentPartPr/>
          </xdr14:nvContentPartPr>
          <xdr14:nvPr macro=""/>
          <xdr14:xfrm>
            <a:off x="5879876" y="8085009"/>
            <a:ext cx="96840" cy="110372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AA98BA0D-F6E0-8E15-2A9E-AC0FEDAA54D7}"/>
                </a:ext>
                <a:ext uri="{147F2762-F138-4A5C-976F-8EAC2B608ADB}">
                  <a16:predDERef xmlns:a16="http://schemas.microsoft.com/office/drawing/2014/main" pred="{7D522835-E385-AC61-92FD-6C1072D6AE44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5528880" y="5229360"/>
              <a:ext cx="11808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139352</xdr:colOff>
      <xdr:row>37</xdr:row>
      <xdr:rowOff>137039</xdr:rowOff>
    </xdr:from>
    <xdr:to>
      <xdr:col>8</xdr:col>
      <xdr:colOff>335192</xdr:colOff>
      <xdr:row>41</xdr:row>
      <xdr:rowOff>150199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6">
          <xdr14:nvContentPartPr>
            <xdr14:cNvPr id="3" name="Ink 174">
              <a:extLst>
                <a:ext uri="{FF2B5EF4-FFF2-40B4-BE49-F238E27FC236}">
                  <a16:creationId xmlns:a16="http://schemas.microsoft.com/office/drawing/2014/main" id="{7956D1EA-0A5B-556E-C628-DD467265554D}"/>
                </a:ext>
                <a:ext uri="{147F2762-F138-4A5C-976F-8EAC2B608ADB}">
                  <a16:predDERef xmlns:a16="http://schemas.microsoft.com/office/drawing/2014/main" pred="{AA98BA0D-F6E0-8E15-2A9E-AC0FEDAA54D7}"/>
                </a:ext>
              </a:extLst>
            </xdr14:cNvPr>
            <xdr14:cNvContentPartPr/>
          </xdr14:nvContentPartPr>
          <xdr14:nvPr macro=""/>
          <xdr14:xfrm>
            <a:off x="5874836" y="7920910"/>
            <a:ext cx="195840" cy="832515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7956D1EA-0A5B-556E-C628-DD467265554D}"/>
                </a:ext>
                <a:ext uri="{147F2762-F138-4A5C-976F-8EAC2B608ADB}">
                  <a16:predDERef xmlns:a16="http://schemas.microsoft.com/office/drawing/2014/main" pred="{AA98BA0D-F6E0-8E15-2A9E-AC0FEDAA54D7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5523840" y="5079240"/>
              <a:ext cx="217080" cy="78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390632</xdr:colOff>
      <xdr:row>37</xdr:row>
      <xdr:rowOff>111479</xdr:rowOff>
    </xdr:from>
    <xdr:to>
      <xdr:col>9</xdr:col>
      <xdr:colOff>3558</xdr:colOff>
      <xdr:row>41</xdr:row>
      <xdr:rowOff>134639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465E0124-44E6-95D4-B461-B1C91ABE2C9C}"/>
                </a:ext>
                <a:ext uri="{147F2762-F138-4A5C-976F-8EAC2B608ADB}">
                  <a16:predDERef xmlns:a16="http://schemas.microsoft.com/office/drawing/2014/main" pred="{7956D1EA-0A5B-556E-C628-DD467265554D}"/>
                </a:ext>
              </a:extLst>
            </xdr14:cNvPr>
            <xdr14:cNvContentPartPr/>
          </xdr14:nvContentPartPr>
          <xdr14:nvPr macro=""/>
          <xdr14:xfrm>
            <a:off x="6126116" y="7895350"/>
            <a:ext cx="270151" cy="842515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465E0124-44E6-95D4-B461-B1C91ABE2C9C}"/>
                </a:ext>
                <a:ext uri="{147F2762-F138-4A5C-976F-8EAC2B608ADB}">
                  <a16:predDERef xmlns:a16="http://schemas.microsoft.com/office/drawing/2014/main" pred="{7956D1EA-0A5B-556E-C628-DD467265554D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5775480" y="5054040"/>
              <a:ext cx="242640" cy="80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103652</xdr:colOff>
      <xdr:row>36</xdr:row>
      <xdr:rowOff>137100</xdr:rowOff>
    </xdr:from>
    <xdr:to>
      <xdr:col>9</xdr:col>
      <xdr:colOff>137132</xdr:colOff>
      <xdr:row>37</xdr:row>
      <xdr:rowOff>66119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22895E1-6CE1-82C4-1AE7-CA830C458C6E}"/>
                </a:ext>
                <a:ext uri="{147F2762-F138-4A5C-976F-8EAC2B608ADB}">
                  <a16:predDERef xmlns:a16="http://schemas.microsoft.com/office/drawing/2014/main" pred="{465E0124-44E6-95D4-B461-B1C91ABE2C9C}"/>
                </a:ext>
              </a:extLst>
            </xdr14:cNvPr>
            <xdr14:cNvContentPartPr/>
          </xdr14:nvContentPartPr>
          <xdr14:nvPr macro=""/>
          <xdr14:xfrm>
            <a:off x="6535587" y="7716132"/>
            <a:ext cx="33480" cy="133858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22895E1-6CE1-82C4-1AE7-CA830C458C6E}"/>
                </a:ext>
                <a:ext uri="{147F2762-F138-4A5C-976F-8EAC2B608ADB}">
                  <a16:predDERef xmlns:a16="http://schemas.microsoft.com/office/drawing/2014/main" pred="{465E0124-44E6-95D4-B461-B1C91ABE2C9C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6135840" y="4889160"/>
              <a:ext cx="5472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53252</xdr:colOff>
      <xdr:row>37</xdr:row>
      <xdr:rowOff>101399</xdr:rowOff>
    </xdr:from>
    <xdr:to>
      <xdr:col>9</xdr:col>
      <xdr:colOff>183932</xdr:colOff>
      <xdr:row>37</xdr:row>
      <xdr:rowOff>111839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D50944B3-C012-CA2F-C1D4-E7391494C804}"/>
                </a:ext>
                <a:ext uri="{147F2762-F138-4A5C-976F-8EAC2B608ADB}">
                  <a16:predDERef xmlns:a16="http://schemas.microsoft.com/office/drawing/2014/main" pred="{A22895E1-6CE1-82C4-1AE7-CA830C458C6E}"/>
                </a:ext>
              </a:extLst>
            </xdr14:cNvPr>
            <xdr14:cNvContentPartPr/>
          </xdr14:nvContentPartPr>
          <xdr14:nvPr macro=""/>
          <xdr14:xfrm>
            <a:off x="6485187" y="7885270"/>
            <a:ext cx="130680" cy="1044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D50944B3-C012-CA2F-C1D4-E7391494C804}"/>
                </a:ext>
                <a:ext uri="{147F2762-F138-4A5C-976F-8EAC2B608ADB}">
                  <a16:predDERef xmlns:a16="http://schemas.microsoft.com/office/drawing/2014/main" pred="{A22895E1-6CE1-82C4-1AE7-CA830C458C6E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6085800" y="5043960"/>
              <a:ext cx="15192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73052</xdr:colOff>
      <xdr:row>37</xdr:row>
      <xdr:rowOff>149639</xdr:rowOff>
    </xdr:from>
    <xdr:to>
      <xdr:col>9</xdr:col>
      <xdr:colOff>185012</xdr:colOff>
      <xdr:row>38</xdr:row>
      <xdr:rowOff>61019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F6B2DA6-A71B-6D37-5B43-80F0FD92E7F7}"/>
                </a:ext>
                <a:ext uri="{147F2762-F138-4A5C-976F-8EAC2B608ADB}">
                  <a16:predDERef xmlns:a16="http://schemas.microsoft.com/office/drawing/2014/main" pred="{D50944B3-C012-CA2F-C1D4-E7391494C804}"/>
                </a:ext>
              </a:extLst>
            </xdr14:cNvPr>
            <xdr14:cNvContentPartPr/>
          </xdr14:nvContentPartPr>
          <xdr14:nvPr macro=""/>
          <xdr14:xfrm>
            <a:off x="6504987" y="7933510"/>
            <a:ext cx="111960" cy="116219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F6B2DA6-A71B-6D37-5B43-80F0FD92E7F7}"/>
                </a:ext>
                <a:ext uri="{147F2762-F138-4A5C-976F-8EAC2B608ADB}">
                  <a16:predDERef xmlns:a16="http://schemas.microsoft.com/office/drawing/2014/main" pred="{D50944B3-C012-CA2F-C1D4-E7391494C804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6105600" y="5092200"/>
              <a:ext cx="13320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812592</xdr:colOff>
      <xdr:row>43</xdr:row>
      <xdr:rowOff>50640</xdr:rowOff>
    </xdr:from>
    <xdr:to>
      <xdr:col>1</xdr:col>
      <xdr:colOff>1006</xdr:colOff>
      <xdr:row>43</xdr:row>
      <xdr:rowOff>76560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FB0B0CB7-B221-0A79-06E4-710743372703}"/>
                </a:ext>
                <a:ext uri="{147F2762-F138-4A5C-976F-8EAC2B608ADB}">
                  <a16:predDERef xmlns:a16="http://schemas.microsoft.com/office/drawing/2014/main" pred="{9F6B2DA6-A71B-6D37-5B43-80F0FD92E7F7}"/>
                </a:ext>
              </a:extLst>
            </xdr14:cNvPr>
            <xdr14:cNvContentPartPr/>
          </xdr14:nvContentPartPr>
          <xdr14:nvPr macro=""/>
          <xdr14:xfrm>
            <a:off x="812592" y="9063543"/>
            <a:ext cx="179014" cy="259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FB0B0CB7-B221-0A79-06E4-710743372703}"/>
                </a:ext>
                <a:ext uri="{147F2762-F138-4A5C-976F-8EAC2B608ADB}">
                  <a16:predDERef xmlns:a16="http://schemas.microsoft.com/office/drawing/2014/main" pred="{9F6B2DA6-A71B-6D37-5B43-80F0FD92E7F7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842760" y="6135840"/>
              <a:ext cx="12348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863352</xdr:colOff>
      <xdr:row>43</xdr:row>
      <xdr:rowOff>81240</xdr:rowOff>
    </xdr:from>
    <xdr:to>
      <xdr:col>0</xdr:col>
      <xdr:colOff>885061</xdr:colOff>
      <xdr:row>43</xdr:row>
      <xdr:rowOff>122280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653FB01-4F7C-DB34-35C4-831B3D35694C}"/>
                </a:ext>
                <a:ext uri="{147F2762-F138-4A5C-976F-8EAC2B608ADB}">
                  <a16:predDERef xmlns:a16="http://schemas.microsoft.com/office/drawing/2014/main" pred="{FB0B0CB7-B221-0A79-06E4-710743372703}"/>
                </a:ext>
              </a:extLst>
            </xdr14:cNvPr>
            <xdr14:cNvContentPartPr/>
          </xdr14:nvContentPartPr>
          <xdr14:nvPr macro=""/>
          <xdr14:xfrm>
            <a:off x="863352" y="9094143"/>
            <a:ext cx="145534" cy="410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653FB01-4F7C-DB34-35C4-831B3D35694C}"/>
                </a:ext>
                <a:ext uri="{147F2762-F138-4A5C-976F-8EAC2B608ADB}">
                  <a16:predDERef xmlns:a16="http://schemas.microsoft.com/office/drawing/2014/main" pred="{FB0B0CB7-B221-0A79-06E4-710743372703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893880" y="6166440"/>
              <a:ext cx="9000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57772</xdr:colOff>
      <xdr:row>42</xdr:row>
      <xdr:rowOff>116579</xdr:rowOff>
    </xdr:from>
    <xdr:to>
      <xdr:col>1</xdr:col>
      <xdr:colOff>162172</xdr:colOff>
      <xdr:row>46</xdr:row>
      <xdr:rowOff>15180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0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3873FCF9-7E95-82C6-C38A-F695F61AC0C6}"/>
                </a:ext>
                <a:ext uri="{147F2762-F138-4A5C-976F-8EAC2B608ADB}">
                  <a16:predDERef xmlns:a16="http://schemas.microsoft.com/office/drawing/2014/main" pred="{1653FB01-4F7C-DB34-35C4-831B3D35694C}"/>
                </a:ext>
              </a:extLst>
            </xdr14:cNvPr>
            <xdr14:cNvContentPartPr/>
          </xdr14:nvContentPartPr>
          <xdr14:nvPr macro=""/>
          <xdr14:xfrm>
            <a:off x="1081966" y="8924644"/>
            <a:ext cx="104400" cy="717955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3873FCF9-7E95-82C6-C38A-F695F61AC0C6}"/>
                </a:ext>
                <a:ext uri="{147F2762-F138-4A5C-976F-8EAC2B608ADB}">
                  <a16:predDERef xmlns:a16="http://schemas.microsoft.com/office/drawing/2014/main" pred="{1653FB01-4F7C-DB34-35C4-831B3D35694C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1035720" y="6011640"/>
              <a:ext cx="125640" cy="68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256132</xdr:colOff>
      <xdr:row>43</xdr:row>
      <xdr:rowOff>155040</xdr:rowOff>
    </xdr:from>
    <xdr:to>
      <xdr:col>1</xdr:col>
      <xdr:colOff>355492</xdr:colOff>
      <xdr:row>45</xdr:row>
      <xdr:rowOff>67079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7BDAABC7-0DD9-6D37-862E-C4F7060889C7}"/>
                </a:ext>
                <a:ext uri="{147F2762-F138-4A5C-976F-8EAC2B608ADB}">
                  <a16:predDERef xmlns:a16="http://schemas.microsoft.com/office/drawing/2014/main" pred="{3873FCF9-7E95-82C6-C38A-F695F61AC0C6}"/>
                </a:ext>
              </a:extLst>
            </xdr14:cNvPr>
            <xdr14:cNvContentPartPr/>
          </xdr14:nvContentPartPr>
          <xdr14:nvPr macro=""/>
          <xdr14:xfrm>
            <a:off x="1280326" y="9167943"/>
            <a:ext cx="99360" cy="321717"/>
          </xdr14:xfrm>
        </xdr:contentPart>
      </mc:Choice>
      <mc:Fallback xmlns=""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7BDAABC7-0DD9-6D37-862E-C4F7060889C7}"/>
                </a:ext>
                <a:ext uri="{147F2762-F138-4A5C-976F-8EAC2B608ADB}">
                  <a16:predDERef xmlns:a16="http://schemas.microsoft.com/office/drawing/2014/main" pred="{3873FCF9-7E95-82C6-C38A-F695F61AC0C6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1233720" y="6240600"/>
              <a:ext cx="120600" cy="31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324772</xdr:colOff>
      <xdr:row>43</xdr:row>
      <xdr:rowOff>154680</xdr:rowOff>
    </xdr:from>
    <xdr:to>
      <xdr:col>2</xdr:col>
      <xdr:colOff>462292</xdr:colOff>
      <xdr:row>45</xdr:row>
      <xdr:rowOff>117119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4">
          <xdr14:nvContentPartPr>
            <xdr14:cNvPr id="184" name="Ink 183">
              <a:extLst>
                <a:ext uri="{FF2B5EF4-FFF2-40B4-BE49-F238E27FC236}">
                  <a16:creationId xmlns:a16="http://schemas.microsoft.com/office/drawing/2014/main" id="{814480DF-9502-E1E3-1298-AA78EB27B434}"/>
                </a:ext>
                <a:ext uri="{147F2762-F138-4A5C-976F-8EAC2B608ADB}">
                  <a16:predDERef xmlns:a16="http://schemas.microsoft.com/office/drawing/2014/main" pred="{7BDAABC7-0DD9-6D37-862E-C4F7060889C7}"/>
                </a:ext>
              </a:extLst>
            </xdr14:cNvPr>
            <xdr14:cNvContentPartPr/>
          </xdr14:nvContentPartPr>
          <xdr14:nvPr macro=""/>
          <xdr14:xfrm>
            <a:off x="2004449" y="9167583"/>
            <a:ext cx="137520" cy="372117"/>
          </xdr14:xfrm>
        </xdr:contentPart>
      </mc:Choice>
      <mc:Fallback xmlns="">
        <xdr:pic>
          <xdr:nvPicPr>
            <xdr:cNvPr id="184" name="Ink 183">
              <a:extLst>
                <a:ext uri="{FF2B5EF4-FFF2-40B4-BE49-F238E27FC236}">
                  <a16:creationId xmlns:a16="http://schemas.microsoft.com/office/drawing/2014/main" id="{814480DF-9502-E1E3-1298-AA78EB27B434}"/>
                </a:ext>
                <a:ext uri="{147F2762-F138-4A5C-976F-8EAC2B608ADB}">
                  <a16:predDERef xmlns:a16="http://schemas.microsoft.com/office/drawing/2014/main" pred="{7BDAABC7-0DD9-6D37-862E-C4F7060889C7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911960" y="6240240"/>
              <a:ext cx="158760" cy="36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517732</xdr:colOff>
      <xdr:row>42</xdr:row>
      <xdr:rowOff>169859</xdr:rowOff>
    </xdr:from>
    <xdr:to>
      <xdr:col>3</xdr:col>
      <xdr:colOff>28012</xdr:colOff>
      <xdr:row>43</xdr:row>
      <xdr:rowOff>70800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6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5C857712-98B3-AD4E-F86B-710F088E4817}"/>
                </a:ext>
                <a:ext uri="{147F2762-F138-4A5C-976F-8EAC2B608ADB}">
                  <a16:predDERef xmlns:a16="http://schemas.microsoft.com/office/drawing/2014/main" pred="{814480DF-9502-E1E3-1298-AA78EB27B434}"/>
                </a:ext>
              </a:extLst>
            </xdr14:cNvPr>
            <xdr14:cNvContentPartPr/>
          </xdr14:nvContentPartPr>
          <xdr14:nvPr macro=""/>
          <xdr14:xfrm>
            <a:off x="2197409" y="8977924"/>
            <a:ext cx="165764" cy="105779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5C857712-98B3-AD4E-F86B-710F088E4817}"/>
                </a:ext>
                <a:ext uri="{147F2762-F138-4A5C-976F-8EAC2B608ADB}">
                  <a16:predDERef xmlns:a16="http://schemas.microsoft.com/office/drawing/2014/main" pred="{814480DF-9502-E1E3-1298-AA78EB27B434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2104920" y="6064920"/>
              <a:ext cx="141120" cy="11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101092</xdr:colOff>
      <xdr:row>44</xdr:row>
      <xdr:rowOff>43019</xdr:rowOff>
    </xdr:from>
    <xdr:to>
      <xdr:col>3</xdr:col>
      <xdr:colOff>195412</xdr:colOff>
      <xdr:row>44</xdr:row>
      <xdr:rowOff>96659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EA888A98-3B8A-AC0B-429F-4F1E3CEAF67B}"/>
                </a:ext>
                <a:ext uri="{147F2762-F138-4A5C-976F-8EAC2B608ADB}">
                  <a16:predDERef xmlns:a16="http://schemas.microsoft.com/office/drawing/2014/main" pred="{5C857712-98B3-AD4E-F86B-710F088E4817}"/>
                </a:ext>
              </a:extLst>
            </xdr14:cNvPr>
            <xdr14:cNvContentPartPr/>
          </xdr14:nvContentPartPr>
          <xdr14:nvPr macro=""/>
          <xdr14:xfrm>
            <a:off x="2436253" y="9260761"/>
            <a:ext cx="94320" cy="5364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EA888A98-3B8A-AC0B-429F-4F1E3CEAF67B}"/>
                </a:ext>
                <a:ext uri="{147F2762-F138-4A5C-976F-8EAC2B608ADB}">
                  <a16:predDERef xmlns:a16="http://schemas.microsoft.com/office/drawing/2014/main" pred="{5C857712-98B3-AD4E-F86B-710F088E4817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2298240" y="6318720"/>
              <a:ext cx="11556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126652</xdr:colOff>
      <xdr:row>43</xdr:row>
      <xdr:rowOff>187800</xdr:rowOff>
    </xdr:from>
    <xdr:to>
      <xdr:col>3</xdr:col>
      <xdr:colOff>139612</xdr:colOff>
      <xdr:row>44</xdr:row>
      <xdr:rowOff>122219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0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88A6C331-13C8-46AE-9110-2B162602AC49}"/>
                </a:ext>
                <a:ext uri="{147F2762-F138-4A5C-976F-8EAC2B608ADB}">
                  <a16:predDERef xmlns:a16="http://schemas.microsoft.com/office/drawing/2014/main" pred="{EA888A98-3B8A-AC0B-429F-4F1E3CEAF67B}"/>
                </a:ext>
              </a:extLst>
            </xdr14:cNvPr>
            <xdr14:cNvContentPartPr/>
          </xdr14:nvContentPartPr>
          <xdr14:nvPr macro=""/>
          <xdr14:xfrm>
            <a:off x="2461813" y="9200703"/>
            <a:ext cx="12960" cy="139258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88A6C331-13C8-46AE-9110-2B162602AC49}"/>
                </a:ext>
                <a:ext uri="{147F2762-F138-4A5C-976F-8EAC2B608ADB}">
                  <a16:predDERef xmlns:a16="http://schemas.microsoft.com/office/drawing/2014/main" pred="{EA888A98-3B8A-AC0B-429F-4F1E3CEAF67B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2323440" y="6273000"/>
              <a:ext cx="3420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42652</xdr:colOff>
      <xdr:row>43</xdr:row>
      <xdr:rowOff>81240</xdr:rowOff>
    </xdr:from>
    <xdr:to>
      <xdr:col>4</xdr:col>
      <xdr:colOff>63172</xdr:colOff>
      <xdr:row>44</xdr:row>
      <xdr:rowOff>40859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2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B6C00393-2923-2462-C720-C344AC7E6F9F}"/>
                </a:ext>
                <a:ext uri="{147F2762-F138-4A5C-976F-8EAC2B608ADB}">
                  <a16:predDERef xmlns:a16="http://schemas.microsoft.com/office/drawing/2014/main" pred="{88A6C331-13C8-46AE-9110-2B162602AC49}"/>
                </a:ext>
              </a:extLst>
            </xdr14:cNvPr>
            <xdr14:cNvContentPartPr/>
          </xdr14:nvContentPartPr>
          <xdr14:nvPr macro=""/>
          <xdr14:xfrm>
            <a:off x="3033297" y="9094143"/>
            <a:ext cx="20520" cy="164458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B6C00393-2923-2462-C720-C344AC7E6F9F}"/>
                </a:ext>
                <a:ext uri="{147F2762-F138-4A5C-976F-8EAC2B608ADB}">
                  <a16:predDERef xmlns:a16="http://schemas.microsoft.com/office/drawing/2014/main" pred="{88A6C331-13C8-46AE-9110-2B162602AC49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2849400" y="6166440"/>
              <a:ext cx="4176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470092</xdr:colOff>
      <xdr:row>44</xdr:row>
      <xdr:rowOff>73619</xdr:rowOff>
    </xdr:from>
    <xdr:to>
      <xdr:col>4</xdr:col>
      <xdr:colOff>129412</xdr:colOff>
      <xdr:row>44</xdr:row>
      <xdr:rowOff>104579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204A28CD-1EB7-4D54-4B1E-EF6D8E56ED90}"/>
                </a:ext>
                <a:ext uri="{147F2762-F138-4A5C-976F-8EAC2B608ADB}">
                  <a16:predDERef xmlns:a16="http://schemas.microsoft.com/office/drawing/2014/main" pred="{B6C00393-2923-2462-C720-C344AC7E6F9F}"/>
                </a:ext>
              </a:extLst>
            </xdr14:cNvPr>
            <xdr14:cNvContentPartPr/>
          </xdr14:nvContentPartPr>
          <xdr14:nvPr macro=""/>
          <xdr14:xfrm>
            <a:off x="2805253" y="9291361"/>
            <a:ext cx="314804" cy="3096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204A28CD-1EB7-4D54-4B1E-EF6D8E56ED90}"/>
                </a:ext>
                <a:ext uri="{147F2762-F138-4A5C-976F-8EAC2B608ADB}">
                  <a16:predDERef xmlns:a16="http://schemas.microsoft.com/office/drawing/2014/main" pred="{B6C00393-2923-2462-C720-C344AC7E6F9F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2667240" y="6349320"/>
              <a:ext cx="29016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457132</xdr:colOff>
      <xdr:row>44</xdr:row>
      <xdr:rowOff>185219</xdr:rowOff>
    </xdr:from>
    <xdr:to>
      <xdr:col>3</xdr:col>
      <xdr:colOff>518332</xdr:colOff>
      <xdr:row>46</xdr:row>
      <xdr:rowOff>96540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F873E0C7-6269-999D-C83B-9D2852BD1EEA}"/>
                </a:ext>
                <a:ext uri="{147F2762-F138-4A5C-976F-8EAC2B608ADB}">
                  <a16:predDERef xmlns:a16="http://schemas.microsoft.com/office/drawing/2014/main" pred="{204A28CD-1EB7-4D54-4B1E-EF6D8E56ED90}"/>
                </a:ext>
              </a:extLst>
            </xdr14:cNvPr>
            <xdr14:cNvContentPartPr/>
          </xdr14:nvContentPartPr>
          <xdr14:nvPr macro=""/>
          <xdr14:xfrm>
            <a:off x="2792293" y="9402961"/>
            <a:ext cx="61200" cy="320998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F873E0C7-6269-999D-C83B-9D2852BD1EEA}"/>
                </a:ext>
                <a:ext uri="{147F2762-F138-4A5C-976F-8EAC2B608ADB}">
                  <a16:predDERef xmlns:a16="http://schemas.microsoft.com/office/drawing/2014/main" pred="{204A28CD-1EB7-4D54-4B1E-EF6D8E56ED90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2653920" y="6461280"/>
              <a:ext cx="82440" cy="31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80812</xdr:colOff>
      <xdr:row>45</xdr:row>
      <xdr:rowOff>35399</xdr:rowOff>
    </xdr:from>
    <xdr:to>
      <xdr:col>4</xdr:col>
      <xdr:colOff>139132</xdr:colOff>
      <xdr:row>46</xdr:row>
      <xdr:rowOff>43260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50D0F87-CA2E-974F-2B59-1AAFB1C17E3B}"/>
                </a:ext>
                <a:ext uri="{147F2762-F138-4A5C-976F-8EAC2B608ADB}">
                  <a16:predDERef xmlns:a16="http://schemas.microsoft.com/office/drawing/2014/main" pred="{F873E0C7-6269-999D-C83B-9D2852BD1EEA}"/>
                </a:ext>
              </a:extLst>
            </xdr14:cNvPr>
            <xdr14:cNvContentPartPr/>
          </xdr14:nvContentPartPr>
          <xdr14:nvPr macro=""/>
          <xdr14:xfrm>
            <a:off x="3071457" y="9457980"/>
            <a:ext cx="58320" cy="212699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E50D0F87-CA2E-974F-2B59-1AAFB1C17E3B}"/>
                </a:ext>
                <a:ext uri="{147F2762-F138-4A5C-976F-8EAC2B608ADB}">
                  <a16:predDERef xmlns:a16="http://schemas.microsoft.com/office/drawing/2014/main" pred="{F873E0C7-6269-999D-C83B-9D2852BD1EEA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2887200" y="6501600"/>
              <a:ext cx="7956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174772</xdr:colOff>
      <xdr:row>44</xdr:row>
      <xdr:rowOff>180179</xdr:rowOff>
    </xdr:from>
    <xdr:to>
      <xdr:col>4</xdr:col>
      <xdr:colOff>271612</xdr:colOff>
      <xdr:row>45</xdr:row>
      <xdr:rowOff>81479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24EFABC7-0D0E-819C-D295-A1C921C631FF}"/>
                </a:ext>
                <a:ext uri="{147F2762-F138-4A5C-976F-8EAC2B608ADB}">
                  <a16:predDERef xmlns:a16="http://schemas.microsoft.com/office/drawing/2014/main" pred="{E50D0F87-CA2E-974F-2B59-1AAFB1C17E3B}"/>
                </a:ext>
              </a:extLst>
            </xdr14:cNvPr>
            <xdr14:cNvContentPartPr/>
          </xdr14:nvContentPartPr>
          <xdr14:nvPr macro=""/>
          <xdr14:xfrm>
            <a:off x="3165417" y="9397921"/>
            <a:ext cx="96840" cy="106139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24EFABC7-0D0E-819C-D295-A1C921C631FF}"/>
                </a:ext>
                <a:ext uri="{147F2762-F138-4A5C-976F-8EAC2B608ADB}">
                  <a16:predDERef xmlns:a16="http://schemas.microsoft.com/office/drawing/2014/main" pred="{E50D0F87-CA2E-974F-2B59-1AAFB1C17E3B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2981160" y="6455880"/>
              <a:ext cx="11808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332092</xdr:colOff>
      <xdr:row>43</xdr:row>
      <xdr:rowOff>53160</xdr:rowOff>
    </xdr:from>
    <xdr:to>
      <xdr:col>4</xdr:col>
      <xdr:colOff>467092</xdr:colOff>
      <xdr:row>47</xdr:row>
      <xdr:rowOff>33120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2397B955-6C7F-57EE-F632-D4C7E2A9FA6C}"/>
                </a:ext>
                <a:ext uri="{147F2762-F138-4A5C-976F-8EAC2B608ADB}">
                  <a16:predDERef xmlns:a16="http://schemas.microsoft.com/office/drawing/2014/main" pred="{24EFABC7-0D0E-819C-D295-A1C921C631FF}"/>
                </a:ext>
              </a:extLst>
            </xdr14:cNvPr>
            <xdr14:cNvContentPartPr/>
          </xdr14:nvContentPartPr>
          <xdr14:nvPr macro=""/>
          <xdr14:xfrm>
            <a:off x="3322737" y="9066063"/>
            <a:ext cx="135000" cy="799315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2397B955-6C7F-57EE-F632-D4C7E2A9FA6C}"/>
                </a:ext>
                <a:ext uri="{147F2762-F138-4A5C-976F-8EAC2B608ADB}">
                  <a16:predDERef xmlns:a16="http://schemas.microsoft.com/office/drawing/2014/main" pred="{24EFABC7-0D0E-819C-D295-A1C921C631FF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3138840" y="6138720"/>
              <a:ext cx="156240" cy="76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535852</xdr:colOff>
      <xdr:row>44</xdr:row>
      <xdr:rowOff>43019</xdr:rowOff>
    </xdr:from>
    <xdr:to>
      <xdr:col>5</xdr:col>
      <xdr:colOff>719</xdr:colOff>
      <xdr:row>46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2D1DAF1D-07D4-7B85-5EF8-1DA99F01CBBC}"/>
                </a:ext>
                <a:ext uri="{147F2762-F138-4A5C-976F-8EAC2B608ADB}">
                  <a16:predDERef xmlns:a16="http://schemas.microsoft.com/office/drawing/2014/main" pred="{2397B955-6C7F-57EE-F632-D4C7E2A9FA6C}"/>
                </a:ext>
              </a:extLst>
            </xdr14:cNvPr>
            <xdr14:cNvContentPartPr/>
          </xdr14:nvContentPartPr>
          <xdr14:nvPr macro=""/>
          <xdr14:xfrm>
            <a:off x="3526497" y="9260761"/>
            <a:ext cx="122092" cy="420358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2D1DAF1D-07D4-7B85-5EF8-1DA99F01CBBC}"/>
                </a:ext>
                <a:ext uri="{147F2762-F138-4A5C-976F-8EAC2B608ADB}">
                  <a16:predDERef xmlns:a16="http://schemas.microsoft.com/office/drawing/2014/main" pred="{2397B955-6C7F-57EE-F632-D4C7E2A9FA6C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3342600" y="6318720"/>
              <a:ext cx="107280" cy="41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207732</xdr:colOff>
      <xdr:row>44</xdr:row>
      <xdr:rowOff>96299</xdr:rowOff>
    </xdr:from>
    <xdr:to>
      <xdr:col>5</xdr:col>
      <xdr:colOff>314652</xdr:colOff>
      <xdr:row>46</xdr:row>
      <xdr:rowOff>56940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5187CFBD-A373-F48E-1277-FBA526D4A389}"/>
                </a:ext>
                <a:ext uri="{147F2762-F138-4A5C-976F-8EAC2B608ADB}">
                  <a16:predDERef xmlns:a16="http://schemas.microsoft.com/office/drawing/2014/main" pred="{2D1DAF1D-07D4-7B85-5EF8-1DA99F01CBBC}"/>
                </a:ext>
              </a:extLst>
            </xdr14:cNvPr>
            <xdr14:cNvContentPartPr/>
          </xdr14:nvContentPartPr>
          <xdr14:nvPr macro=""/>
          <xdr14:xfrm>
            <a:off x="3894829" y="9314041"/>
            <a:ext cx="106920" cy="370318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5187CFBD-A373-F48E-1277-FBA526D4A389}"/>
                </a:ext>
                <a:ext uri="{147F2762-F138-4A5C-976F-8EAC2B608ADB}">
                  <a16:predDERef xmlns:a16="http://schemas.microsoft.com/office/drawing/2014/main" pred="{2D1DAF1D-07D4-7B85-5EF8-1DA99F01CBBC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3674880" y="6372360"/>
              <a:ext cx="12816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433812</xdr:colOff>
      <xdr:row>43</xdr:row>
      <xdr:rowOff>60720</xdr:rowOff>
    </xdr:from>
    <xdr:to>
      <xdr:col>5</xdr:col>
      <xdr:colOff>543252</xdr:colOff>
      <xdr:row>43</xdr:row>
      <xdr:rowOff>160080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A2869BFE-40E3-6E58-433D-83B0415BD962}"/>
                </a:ext>
                <a:ext uri="{147F2762-F138-4A5C-976F-8EAC2B608ADB}">
                  <a16:predDERef xmlns:a16="http://schemas.microsoft.com/office/drawing/2014/main" pred="{5187CFBD-A373-F48E-1277-FBA526D4A389}"/>
                </a:ext>
              </a:extLst>
            </xdr14:cNvPr>
            <xdr14:cNvContentPartPr/>
          </xdr14:nvContentPartPr>
          <xdr14:nvPr macro=""/>
          <xdr14:xfrm>
            <a:off x="4120909" y="9073623"/>
            <a:ext cx="109440" cy="993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A2869BFE-40E3-6E58-433D-83B0415BD962}"/>
                </a:ext>
                <a:ext uri="{147F2762-F138-4A5C-976F-8EAC2B608ADB}">
                  <a16:predDERef xmlns:a16="http://schemas.microsoft.com/office/drawing/2014/main" pred="{5187CFBD-A373-F48E-1277-FBA526D4A389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3900960" y="6146280"/>
              <a:ext cx="13068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537852</xdr:colOff>
      <xdr:row>44</xdr:row>
      <xdr:rowOff>121859</xdr:rowOff>
    </xdr:from>
    <xdr:to>
      <xdr:col>6</xdr:col>
      <xdr:colOff>35532</xdr:colOff>
      <xdr:row>44</xdr:row>
      <xdr:rowOff>167579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7482A1B7-8DA9-B4B6-61F9-10A21A1482AA}"/>
                </a:ext>
                <a:ext uri="{147F2762-F138-4A5C-976F-8EAC2B608ADB}">
                  <a16:predDERef xmlns:a16="http://schemas.microsoft.com/office/drawing/2014/main" pred="{A2869BFE-40E3-6E58-433D-83B0415BD962}"/>
                </a:ext>
              </a:extLst>
            </xdr14:cNvPr>
            <xdr14:cNvContentPartPr/>
          </xdr14:nvContentPartPr>
          <xdr14:nvPr macro=""/>
          <xdr14:xfrm>
            <a:off x="4224949" y="9339601"/>
            <a:ext cx="153164" cy="4572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7482A1B7-8DA9-B4B6-61F9-10A21A1482AA}"/>
                </a:ext>
                <a:ext uri="{147F2762-F138-4A5C-976F-8EAC2B608ADB}">
                  <a16:predDERef xmlns:a16="http://schemas.microsoft.com/office/drawing/2014/main" pred="{A2869BFE-40E3-6E58-433D-83B0415BD962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4005000" y="6397560"/>
              <a:ext cx="128520" cy="6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626936</xdr:colOff>
      <xdr:row>44</xdr:row>
      <xdr:rowOff>88739</xdr:rowOff>
    </xdr:from>
    <xdr:to>
      <xdr:col>6</xdr:col>
      <xdr:colOff>1721</xdr:colOff>
      <xdr:row>45</xdr:row>
      <xdr:rowOff>5159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E077531F-F423-905E-6FC8-9F3D482FC253}"/>
                </a:ext>
                <a:ext uri="{147F2762-F138-4A5C-976F-8EAC2B608ADB}">
                  <a16:predDERef xmlns:a16="http://schemas.microsoft.com/office/drawing/2014/main" pred="{7482A1B7-8DA9-B4B6-61F9-10A21A1482AA}"/>
                </a:ext>
              </a:extLst>
            </xdr14:cNvPr>
            <xdr14:cNvContentPartPr/>
          </xdr14:nvContentPartPr>
          <xdr14:nvPr macro=""/>
          <xdr14:xfrm>
            <a:off x="4314033" y="9306481"/>
            <a:ext cx="12960" cy="121259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E077531F-F423-905E-6FC8-9F3D482FC253}"/>
                </a:ext>
                <a:ext uri="{147F2762-F138-4A5C-976F-8EAC2B608ADB}">
                  <a16:predDERef xmlns:a16="http://schemas.microsoft.com/office/drawing/2014/main" pred="{7482A1B7-8DA9-B4B6-61F9-10A21A1482AA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4048200" y="6364440"/>
              <a:ext cx="3420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347652</xdr:colOff>
      <xdr:row>43</xdr:row>
      <xdr:rowOff>132000</xdr:rowOff>
    </xdr:from>
    <xdr:to>
      <xdr:col>6</xdr:col>
      <xdr:colOff>358092</xdr:colOff>
      <xdr:row>44</xdr:row>
      <xdr:rowOff>114659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4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17786C30-E9AA-8CA2-505C-104A935E2B7B}"/>
                </a:ext>
                <a:ext uri="{147F2762-F138-4A5C-976F-8EAC2B608ADB}">
                  <a16:predDERef xmlns:a16="http://schemas.microsoft.com/office/drawing/2014/main" pred="{E077531F-F423-905E-6FC8-9F3D482FC253}"/>
                </a:ext>
              </a:extLst>
            </xdr14:cNvPr>
            <xdr14:cNvContentPartPr/>
          </xdr14:nvContentPartPr>
          <xdr14:nvPr macro=""/>
          <xdr14:xfrm>
            <a:off x="4690233" y="9144903"/>
            <a:ext cx="10440" cy="187498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17786C30-E9AA-8CA2-505C-104A935E2B7B}"/>
                </a:ext>
                <a:ext uri="{147F2762-F138-4A5C-976F-8EAC2B608ADB}">
                  <a16:predDERef xmlns:a16="http://schemas.microsoft.com/office/drawing/2014/main" pred="{E077531F-F423-905E-6FC8-9F3D482FC253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4424040" y="6217200"/>
              <a:ext cx="3168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149292</xdr:colOff>
      <xdr:row>44</xdr:row>
      <xdr:rowOff>103859</xdr:rowOff>
    </xdr:from>
    <xdr:to>
      <xdr:col>7</xdr:col>
      <xdr:colOff>373</xdr:colOff>
      <xdr:row>44</xdr:row>
      <xdr:rowOff>152459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6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5C13F2F4-DC19-D9E3-94D3-6EA1F37C0DF1}"/>
                </a:ext>
                <a:ext uri="{147F2762-F138-4A5C-976F-8EAC2B608ADB}">
                  <a16:predDERef xmlns:a16="http://schemas.microsoft.com/office/drawing/2014/main" pred="{17786C30-E9AA-8CA2-505C-104A935E2B7B}"/>
                </a:ext>
              </a:extLst>
            </xdr14:cNvPr>
            <xdr14:cNvContentPartPr/>
          </xdr14:nvContentPartPr>
          <xdr14:nvPr macro=""/>
          <xdr14:xfrm>
            <a:off x="4491873" y="9321601"/>
            <a:ext cx="517831" cy="4860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5C13F2F4-DC19-D9E3-94D3-6EA1F37C0DF1}"/>
                </a:ext>
                <a:ext uri="{147F2762-F138-4A5C-976F-8EAC2B608ADB}">
                  <a16:predDERef xmlns:a16="http://schemas.microsoft.com/office/drawing/2014/main" pred="{17786C30-E9AA-8CA2-505C-104A935E2B7B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4226040" y="6379920"/>
              <a:ext cx="49032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139212</xdr:colOff>
      <xdr:row>45</xdr:row>
      <xdr:rowOff>63479</xdr:rowOff>
    </xdr:from>
    <xdr:to>
      <xdr:col>6</xdr:col>
      <xdr:colOff>225972</xdr:colOff>
      <xdr:row>46</xdr:row>
      <xdr:rowOff>30660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8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838110B6-B85C-9A2B-C5F9-E4AA5699A0D9}"/>
                </a:ext>
                <a:ext uri="{147F2762-F138-4A5C-976F-8EAC2B608ADB}">
                  <a16:predDERef xmlns:a16="http://schemas.microsoft.com/office/drawing/2014/main" pred="{5C13F2F4-DC19-D9E3-94D3-6EA1F37C0DF1}"/>
                </a:ext>
              </a:extLst>
            </xdr14:cNvPr>
            <xdr14:cNvContentPartPr/>
          </xdr14:nvContentPartPr>
          <xdr14:nvPr macro=""/>
          <xdr14:xfrm>
            <a:off x="4481793" y="9486060"/>
            <a:ext cx="86760" cy="172019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838110B6-B85C-9A2B-C5F9-E4AA5699A0D9}"/>
                </a:ext>
                <a:ext uri="{147F2762-F138-4A5C-976F-8EAC2B608ADB}">
                  <a16:predDERef xmlns:a16="http://schemas.microsoft.com/office/drawing/2014/main" pred="{5C13F2F4-DC19-D9E3-94D3-6EA1F37C0DF1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4215600" y="6529680"/>
              <a:ext cx="10800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240732</xdr:colOff>
      <xdr:row>45</xdr:row>
      <xdr:rowOff>111719</xdr:rowOff>
    </xdr:from>
    <xdr:to>
      <xdr:col>6</xdr:col>
      <xdr:colOff>309852</xdr:colOff>
      <xdr:row>45</xdr:row>
      <xdr:rowOff>144839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0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0B694EA8-1AAC-A727-0C98-C3517EC98B81}"/>
                </a:ext>
                <a:ext uri="{147F2762-F138-4A5C-976F-8EAC2B608ADB}">
                  <a16:predDERef xmlns:a16="http://schemas.microsoft.com/office/drawing/2014/main" pred="{838110B6-B85C-9A2B-C5F9-E4AA5699A0D9}"/>
                </a:ext>
              </a:extLst>
            </xdr14:cNvPr>
            <xdr14:cNvContentPartPr/>
          </xdr14:nvContentPartPr>
          <xdr14:nvPr macro=""/>
          <xdr14:xfrm>
            <a:off x="4583313" y="9534300"/>
            <a:ext cx="69120" cy="3312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0B694EA8-1AAC-A727-0C98-C3517EC98B81}"/>
                </a:ext>
                <a:ext uri="{147F2762-F138-4A5C-976F-8EAC2B608ADB}">
                  <a16:predDERef xmlns:a16="http://schemas.microsoft.com/office/drawing/2014/main" pred="{838110B6-B85C-9A2B-C5F9-E4AA5699A0D9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4317480" y="6577920"/>
              <a:ext cx="9036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263772</xdr:colOff>
      <xdr:row>45</xdr:row>
      <xdr:rowOff>98759</xdr:rowOff>
    </xdr:from>
    <xdr:to>
      <xdr:col>6</xdr:col>
      <xdr:colOff>292212</xdr:colOff>
      <xdr:row>45</xdr:row>
      <xdr:rowOff>182999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2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D8C52DD5-5AFA-1909-D989-7E285D4F2F19}"/>
                </a:ext>
                <a:ext uri="{147F2762-F138-4A5C-976F-8EAC2B608ADB}">
                  <a16:predDERef xmlns:a16="http://schemas.microsoft.com/office/drawing/2014/main" pred="{0B694EA8-1AAC-A727-0C98-C3517EC98B81}"/>
                </a:ext>
              </a:extLst>
            </xdr14:cNvPr>
            <xdr14:cNvContentPartPr/>
          </xdr14:nvContentPartPr>
          <xdr14:nvPr macro=""/>
          <xdr14:xfrm>
            <a:off x="4606353" y="9521340"/>
            <a:ext cx="28440" cy="8424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D8C52DD5-5AFA-1909-D989-7E285D4F2F19}"/>
                </a:ext>
                <a:ext uri="{147F2762-F138-4A5C-976F-8EAC2B608ADB}">
                  <a16:predDERef xmlns:a16="http://schemas.microsoft.com/office/drawing/2014/main" pred="{0B694EA8-1AAC-A727-0C98-C3517EC98B81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4340160" y="6565320"/>
              <a:ext cx="4968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334692</xdr:colOff>
      <xdr:row>45</xdr:row>
      <xdr:rowOff>58439</xdr:rowOff>
    </xdr:from>
    <xdr:to>
      <xdr:col>6</xdr:col>
      <xdr:colOff>416412</xdr:colOff>
      <xdr:row>45</xdr:row>
      <xdr:rowOff>184439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4BDDD5E3-A4DD-573E-BB75-E281E4A923B9}"/>
                </a:ext>
                <a:ext uri="{147F2762-F138-4A5C-976F-8EAC2B608ADB}">
                  <a16:predDERef xmlns:a16="http://schemas.microsoft.com/office/drawing/2014/main" pred="{D8C52DD5-5AFA-1909-D989-7E285D4F2F19}"/>
                </a:ext>
              </a:extLst>
            </xdr14:cNvPr>
            <xdr14:cNvContentPartPr/>
          </xdr14:nvContentPartPr>
          <xdr14:nvPr macro=""/>
          <xdr14:xfrm>
            <a:off x="4677273" y="9481020"/>
            <a:ext cx="81720" cy="12600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4BDDD5E3-A4DD-573E-BB75-E281E4A923B9}"/>
                </a:ext>
                <a:ext uri="{147F2762-F138-4A5C-976F-8EAC2B608ADB}">
                  <a16:predDERef xmlns:a16="http://schemas.microsoft.com/office/drawing/2014/main" pred="{D8C52DD5-5AFA-1909-D989-7E285D4F2F19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4411440" y="6525000"/>
              <a:ext cx="10296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449172</xdr:colOff>
      <xdr:row>45</xdr:row>
      <xdr:rowOff>119279</xdr:rowOff>
    </xdr:from>
    <xdr:to>
      <xdr:col>6</xdr:col>
      <xdr:colOff>480132</xdr:colOff>
      <xdr:row>45</xdr:row>
      <xdr:rowOff>175439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DB746B3-7595-BE9E-A563-AC1B70CE9FC2}"/>
                </a:ext>
                <a:ext uri="{147F2762-F138-4A5C-976F-8EAC2B608ADB}">
                  <a16:predDERef xmlns:a16="http://schemas.microsoft.com/office/drawing/2014/main" pred="{4BDDD5E3-A4DD-573E-BB75-E281E4A923B9}"/>
                </a:ext>
              </a:extLst>
            </xdr14:cNvPr>
            <xdr14:cNvContentPartPr/>
          </xdr14:nvContentPartPr>
          <xdr14:nvPr macro=""/>
          <xdr14:xfrm>
            <a:off x="4791753" y="9541860"/>
            <a:ext cx="30960" cy="5616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DB746B3-7595-BE9E-A563-AC1B70CE9FC2}"/>
                </a:ext>
                <a:ext uri="{147F2762-F138-4A5C-976F-8EAC2B608ADB}">
                  <a16:predDERef xmlns:a16="http://schemas.microsoft.com/office/drawing/2014/main" pred="{4BDDD5E3-A4DD-573E-BB75-E281E4A923B9}"/>
                </a:ext>
              </a:extLst>
            </xdr:cNvPr>
            <xdr:cNvPicPr/>
          </xdr:nvPicPr>
          <xdr:blipFill>
            <a:blip xmlns:r="http://schemas.openxmlformats.org/officeDocument/2006/relationships" r:embed="rId397"/>
            <a:stretch>
              <a:fillRect/>
            </a:stretch>
          </xdr:blipFill>
          <xdr:spPr>
            <a:xfrm>
              <a:off x="4525560" y="6585480"/>
              <a:ext cx="522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492372</xdr:colOff>
      <xdr:row>44</xdr:row>
      <xdr:rowOff>182699</xdr:rowOff>
    </xdr:from>
    <xdr:to>
      <xdr:col>6</xdr:col>
      <xdr:colOff>599292</xdr:colOff>
      <xdr:row>46</xdr:row>
      <xdr:rowOff>52260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8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CA0EE06C-F988-D1DE-9059-AA205DB0016B}"/>
                </a:ext>
                <a:ext uri="{147F2762-F138-4A5C-976F-8EAC2B608ADB}">
                  <a16:predDERef xmlns:a16="http://schemas.microsoft.com/office/drawing/2014/main" pred="{CDB746B3-7595-BE9E-A563-AC1B70CE9FC2}"/>
                </a:ext>
              </a:extLst>
            </xdr14:cNvPr>
            <xdr14:cNvContentPartPr/>
          </xdr14:nvContentPartPr>
          <xdr14:nvPr macro=""/>
          <xdr14:xfrm>
            <a:off x="4834953" y="9400441"/>
            <a:ext cx="106920" cy="279238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CA0EE06C-F988-D1DE-9059-AA205DB0016B}"/>
                </a:ext>
                <a:ext uri="{147F2762-F138-4A5C-976F-8EAC2B608ADB}">
                  <a16:predDERef xmlns:a16="http://schemas.microsoft.com/office/drawing/2014/main" pred="{CDB746B3-7595-BE9E-A563-AC1B70CE9FC2}"/>
                </a:ext>
              </a:extLst>
            </xdr:cNvPr>
            <xdr:cNvPicPr/>
          </xdr:nvPicPr>
          <xdr:blipFill>
            <a:blip xmlns:r="http://schemas.openxmlformats.org/officeDocument/2006/relationships" r:embed="rId399"/>
            <a:stretch>
              <a:fillRect/>
            </a:stretch>
          </xdr:blipFill>
          <xdr:spPr>
            <a:xfrm>
              <a:off x="4568760" y="6458760"/>
              <a:ext cx="12816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35172</xdr:colOff>
      <xdr:row>44</xdr:row>
      <xdr:rowOff>187739</xdr:rowOff>
    </xdr:from>
    <xdr:to>
      <xdr:col>6</xdr:col>
      <xdr:colOff>121572</xdr:colOff>
      <xdr:row>46</xdr:row>
      <xdr:rowOff>109500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0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884AB965-C5BC-74B1-6502-4C8DB36A0A5C}"/>
                </a:ext>
                <a:ext uri="{147F2762-F138-4A5C-976F-8EAC2B608ADB}">
                  <a16:predDERef xmlns:a16="http://schemas.microsoft.com/office/drawing/2014/main" pred="{CA0EE06C-F988-D1DE-9059-AA205DB0016B}"/>
                </a:ext>
              </a:extLst>
            </xdr14:cNvPr>
            <xdr14:cNvContentPartPr/>
          </xdr14:nvContentPartPr>
          <xdr14:nvPr macro=""/>
          <xdr14:xfrm>
            <a:off x="4377753" y="9405481"/>
            <a:ext cx="86400" cy="331438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884AB965-C5BC-74B1-6502-4C8DB36A0A5C}"/>
                </a:ext>
                <a:ext uri="{147F2762-F138-4A5C-976F-8EAC2B608ADB}">
                  <a16:predDERef xmlns:a16="http://schemas.microsoft.com/office/drawing/2014/main" pred="{CA0EE06C-F988-D1DE-9059-AA205DB0016B}"/>
                </a:ext>
              </a:extLst>
            </xdr:cNvPr>
            <xdr:cNvPicPr/>
          </xdr:nvPicPr>
          <xdr:blipFill>
            <a:blip xmlns:r="http://schemas.openxmlformats.org/officeDocument/2006/relationships" r:embed="rId401"/>
            <a:stretch>
              <a:fillRect/>
            </a:stretch>
          </xdr:blipFill>
          <xdr:spPr>
            <a:xfrm>
              <a:off x="4111920" y="6463800"/>
              <a:ext cx="10764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673243</xdr:colOff>
      <xdr:row>44</xdr:row>
      <xdr:rowOff>152099</xdr:rowOff>
    </xdr:from>
    <xdr:to>
      <xdr:col>7</xdr:col>
      <xdr:colOff>101712</xdr:colOff>
      <xdr:row>45</xdr:row>
      <xdr:rowOff>40799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2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47D2D4ED-21B3-FB03-E9CB-ABEC93EA1E2E}"/>
                </a:ext>
                <a:ext uri="{147F2762-F138-4A5C-976F-8EAC2B608ADB}">
                  <a16:predDERef xmlns:a16="http://schemas.microsoft.com/office/drawing/2014/main" pred="{884AB965-C5BC-74B1-6502-4C8DB36A0A5C}"/>
                </a:ext>
              </a:extLst>
            </xdr14:cNvPr>
            <xdr14:cNvContentPartPr/>
          </xdr14:nvContentPartPr>
          <xdr14:nvPr macro=""/>
          <xdr14:xfrm>
            <a:off x="5015824" y="9369841"/>
            <a:ext cx="124920" cy="93539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47D2D4ED-21B3-FB03-E9CB-ABEC93EA1E2E}"/>
                </a:ext>
                <a:ext uri="{147F2762-F138-4A5C-976F-8EAC2B608ADB}">
                  <a16:predDERef xmlns:a16="http://schemas.microsoft.com/office/drawing/2014/main" pred="{884AB965-C5BC-74B1-6502-4C8DB36A0A5C}"/>
                </a:ext>
              </a:extLst>
            </xdr:cNvPr>
            <xdr:cNvPicPr/>
          </xdr:nvPicPr>
          <xdr:blipFill>
            <a:blip xmlns:r="http://schemas.openxmlformats.org/officeDocument/2006/relationships" r:embed="rId403"/>
            <a:stretch>
              <a:fillRect/>
            </a:stretch>
          </xdr:blipFill>
          <xdr:spPr>
            <a:xfrm>
              <a:off x="4700880" y="6428160"/>
              <a:ext cx="146160" cy="10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129072</xdr:colOff>
      <xdr:row>43</xdr:row>
      <xdr:rowOff>139560</xdr:rowOff>
    </xdr:from>
    <xdr:to>
      <xdr:col>7</xdr:col>
      <xdr:colOff>177672</xdr:colOff>
      <xdr:row>45</xdr:row>
      <xdr:rowOff>40799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4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D4662A02-0A99-CDCE-3F4F-47C3C86B2121}"/>
                </a:ext>
                <a:ext uri="{147F2762-F138-4A5C-976F-8EAC2B608ADB}">
                  <a16:predDERef xmlns:a16="http://schemas.microsoft.com/office/drawing/2014/main" pred="{47D2D4ED-21B3-FB03-E9CB-ABEC93EA1E2E}"/>
                </a:ext>
              </a:extLst>
            </xdr14:cNvPr>
            <xdr14:cNvContentPartPr/>
          </xdr14:nvContentPartPr>
          <xdr14:nvPr macro=""/>
          <xdr14:xfrm>
            <a:off x="5168104" y="9152463"/>
            <a:ext cx="48600" cy="310917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D4662A02-0A99-CDCE-3F4F-47C3C86B2121}"/>
                </a:ext>
                <a:ext uri="{147F2762-F138-4A5C-976F-8EAC2B608ADB}">
                  <a16:predDERef xmlns:a16="http://schemas.microsoft.com/office/drawing/2014/main" pred="{47D2D4ED-21B3-FB03-E9CB-ABEC93EA1E2E}"/>
                </a:ext>
              </a:extLst>
            </xdr:cNvPr>
            <xdr:cNvPicPr/>
          </xdr:nvPicPr>
          <xdr:blipFill>
            <a:blip xmlns:r="http://schemas.openxmlformats.org/officeDocument/2006/relationships" r:embed="rId405"/>
            <a:stretch>
              <a:fillRect/>
            </a:stretch>
          </xdr:blipFill>
          <xdr:spPr>
            <a:xfrm>
              <a:off x="4853160" y="6224760"/>
              <a:ext cx="69840" cy="30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231312</xdr:colOff>
      <xdr:row>44</xdr:row>
      <xdr:rowOff>7379</xdr:rowOff>
    </xdr:from>
    <xdr:to>
      <xdr:col>7</xdr:col>
      <xdr:colOff>423912</xdr:colOff>
      <xdr:row>44</xdr:row>
      <xdr:rowOff>165059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6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D3FA2DC3-496D-9F25-AA60-2881DBB8F22D}"/>
                </a:ext>
                <a:ext uri="{147F2762-F138-4A5C-976F-8EAC2B608ADB}">
                  <a16:predDERef xmlns:a16="http://schemas.microsoft.com/office/drawing/2014/main" pred="{D4662A02-0A99-CDCE-3F4F-47C3C86B2121}"/>
                </a:ext>
              </a:extLst>
            </xdr14:cNvPr>
            <xdr14:cNvContentPartPr/>
          </xdr14:nvContentPartPr>
          <xdr14:nvPr macro=""/>
          <xdr14:xfrm>
            <a:off x="5270344" y="9225121"/>
            <a:ext cx="192600" cy="15768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D3FA2DC3-496D-9F25-AA60-2881DBB8F22D}"/>
                </a:ext>
                <a:ext uri="{147F2762-F138-4A5C-976F-8EAC2B608ADB}">
                  <a16:predDERef xmlns:a16="http://schemas.microsoft.com/office/drawing/2014/main" pred="{D4662A02-0A99-CDCE-3F4F-47C3C86B2121}"/>
                </a:ext>
              </a:extLst>
            </xdr:cNvPr>
            <xdr:cNvPicPr/>
          </xdr:nvPicPr>
          <xdr:blipFill>
            <a:blip xmlns:r="http://schemas.openxmlformats.org/officeDocument/2006/relationships" r:embed="rId407"/>
            <a:stretch>
              <a:fillRect/>
            </a:stretch>
          </xdr:blipFill>
          <xdr:spPr>
            <a:xfrm>
              <a:off x="4955760" y="6283440"/>
              <a:ext cx="2138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439032</xdr:colOff>
      <xdr:row>44</xdr:row>
      <xdr:rowOff>17459</xdr:rowOff>
    </xdr:from>
    <xdr:to>
      <xdr:col>7</xdr:col>
      <xdr:colOff>525792</xdr:colOff>
      <xdr:row>44</xdr:row>
      <xdr:rowOff>166139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00C002AA-841C-E83F-A744-42F69D5A8F0E}"/>
                </a:ext>
                <a:ext uri="{147F2762-F138-4A5C-976F-8EAC2B608ADB}">
                  <a16:predDERef xmlns:a16="http://schemas.microsoft.com/office/drawing/2014/main" pred="{D3FA2DC3-496D-9F25-AA60-2881DBB8F22D}"/>
                </a:ext>
              </a:extLst>
            </xdr14:cNvPr>
            <xdr14:cNvContentPartPr/>
          </xdr14:nvContentPartPr>
          <xdr14:nvPr macro=""/>
          <xdr14:xfrm>
            <a:off x="5478064" y="9235201"/>
            <a:ext cx="86760" cy="1486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00C002AA-841C-E83F-A744-42F69D5A8F0E}"/>
                </a:ext>
                <a:ext uri="{147F2762-F138-4A5C-976F-8EAC2B608ADB}">
                  <a16:predDERef xmlns:a16="http://schemas.microsoft.com/office/drawing/2014/main" pred="{D3FA2DC3-496D-9F25-AA60-2881DBB8F22D}"/>
                </a:ext>
              </a:extLst>
            </xdr:cNvPr>
            <xdr:cNvPicPr/>
          </xdr:nvPicPr>
          <xdr:blipFill>
            <a:blip xmlns:r="http://schemas.openxmlformats.org/officeDocument/2006/relationships" r:embed="rId409"/>
            <a:stretch>
              <a:fillRect/>
            </a:stretch>
          </xdr:blipFill>
          <xdr:spPr>
            <a:xfrm>
              <a:off x="5163120" y="6293520"/>
              <a:ext cx="1080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555672</xdr:colOff>
      <xdr:row>44</xdr:row>
      <xdr:rowOff>65699</xdr:rowOff>
    </xdr:from>
    <xdr:to>
      <xdr:col>7</xdr:col>
      <xdr:colOff>616152</xdr:colOff>
      <xdr:row>44</xdr:row>
      <xdr:rowOff>101699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0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1749ADAB-7F61-7FDC-16CF-C3B7D65D9076}"/>
                </a:ext>
                <a:ext uri="{147F2762-F138-4A5C-976F-8EAC2B608ADB}">
                  <a16:predDERef xmlns:a16="http://schemas.microsoft.com/office/drawing/2014/main" pred="{00C002AA-841C-E83F-A744-42F69D5A8F0E}"/>
                </a:ext>
              </a:extLst>
            </xdr14:cNvPr>
            <xdr14:cNvContentPartPr/>
          </xdr14:nvContentPartPr>
          <xdr14:nvPr macro=""/>
          <xdr14:xfrm>
            <a:off x="5594704" y="9283441"/>
            <a:ext cx="60480" cy="3600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1749ADAB-7F61-7FDC-16CF-C3B7D65D9076}"/>
                </a:ext>
                <a:ext uri="{147F2762-F138-4A5C-976F-8EAC2B608ADB}">
                  <a16:predDERef xmlns:a16="http://schemas.microsoft.com/office/drawing/2014/main" pred="{00C002AA-841C-E83F-A744-42F69D5A8F0E}"/>
                </a:ext>
              </a:extLst>
            </xdr:cNvPr>
            <xdr:cNvPicPr/>
          </xdr:nvPicPr>
          <xdr:blipFill>
            <a:blip xmlns:r="http://schemas.openxmlformats.org/officeDocument/2006/relationships" r:embed="rId411"/>
            <a:stretch>
              <a:fillRect/>
            </a:stretch>
          </xdr:blipFill>
          <xdr:spPr>
            <a:xfrm>
              <a:off x="5280120" y="6341760"/>
              <a:ext cx="81720" cy="5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581232</xdr:colOff>
      <xdr:row>44</xdr:row>
      <xdr:rowOff>45539</xdr:rowOff>
    </xdr:from>
    <xdr:to>
      <xdr:col>7</xdr:col>
      <xdr:colOff>594192</xdr:colOff>
      <xdr:row>44</xdr:row>
      <xdr:rowOff>147419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2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BD082F25-5DF3-885D-6C70-16B4CA9FB886}"/>
                </a:ext>
                <a:ext uri="{147F2762-F138-4A5C-976F-8EAC2B608ADB}">
                  <a16:predDERef xmlns:a16="http://schemas.microsoft.com/office/drawing/2014/main" pred="{1749ADAB-7F61-7FDC-16CF-C3B7D65D9076}"/>
                </a:ext>
              </a:extLst>
            </xdr14:cNvPr>
            <xdr14:cNvContentPartPr/>
          </xdr14:nvContentPartPr>
          <xdr14:nvPr macro=""/>
          <xdr14:xfrm>
            <a:off x="5620264" y="9263281"/>
            <a:ext cx="12960" cy="10188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BD082F25-5DF3-885D-6C70-16B4CA9FB886}"/>
                </a:ext>
                <a:ext uri="{147F2762-F138-4A5C-976F-8EAC2B608ADB}">
                  <a16:predDERef xmlns:a16="http://schemas.microsoft.com/office/drawing/2014/main" pred="{1749ADAB-7F61-7FDC-16CF-C3B7D65D9076}"/>
                </a:ext>
              </a:extLst>
            </xdr:cNvPr>
            <xdr:cNvPicPr/>
          </xdr:nvPicPr>
          <xdr:blipFill>
            <a:blip xmlns:r="http://schemas.openxmlformats.org/officeDocument/2006/relationships" r:embed="rId413"/>
            <a:stretch>
              <a:fillRect/>
            </a:stretch>
          </xdr:blipFill>
          <xdr:spPr>
            <a:xfrm>
              <a:off x="5305320" y="6321600"/>
              <a:ext cx="3420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4712</xdr:colOff>
      <xdr:row>44</xdr:row>
      <xdr:rowOff>40499</xdr:rowOff>
    </xdr:from>
    <xdr:to>
      <xdr:col>8</xdr:col>
      <xdr:colOff>144392</xdr:colOff>
      <xdr:row>44</xdr:row>
      <xdr:rowOff>160379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4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B09E0594-109E-ADB6-5A4B-754F046203EC}"/>
                </a:ext>
                <a:ext uri="{147F2762-F138-4A5C-976F-8EAC2B608ADB}">
                  <a16:predDERef xmlns:a16="http://schemas.microsoft.com/office/drawing/2014/main" pred="{BD082F25-5DF3-885D-6C70-16B4CA9FB886}"/>
                </a:ext>
              </a:extLst>
            </xdr14:cNvPr>
            <xdr14:cNvContentPartPr/>
          </xdr14:nvContentPartPr>
          <xdr14:nvPr macro=""/>
          <xdr14:xfrm>
            <a:off x="5740196" y="9258241"/>
            <a:ext cx="139680" cy="1198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B09E0594-109E-ADB6-5A4B-754F046203EC}"/>
                </a:ext>
                <a:ext uri="{147F2762-F138-4A5C-976F-8EAC2B608ADB}">
                  <a16:predDERef xmlns:a16="http://schemas.microsoft.com/office/drawing/2014/main" pred="{BD082F25-5DF3-885D-6C70-16B4CA9FB886}"/>
                </a:ext>
              </a:extLst>
            </xdr:cNvPr>
            <xdr:cNvPicPr/>
          </xdr:nvPicPr>
          <xdr:blipFill>
            <a:blip xmlns:r="http://schemas.openxmlformats.org/officeDocument/2006/relationships" r:embed="rId415"/>
            <a:stretch>
              <a:fillRect/>
            </a:stretch>
          </xdr:blipFill>
          <xdr:spPr>
            <a:xfrm>
              <a:off x="5389560" y="6316200"/>
              <a:ext cx="16092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174632</xdr:colOff>
      <xdr:row>44</xdr:row>
      <xdr:rowOff>2339</xdr:rowOff>
    </xdr:from>
    <xdr:to>
      <xdr:col>8</xdr:col>
      <xdr:colOff>277952</xdr:colOff>
      <xdr:row>44</xdr:row>
      <xdr:rowOff>162539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190DCDC0-BA02-88C7-4397-55AFDA20F3CB}"/>
                </a:ext>
                <a:ext uri="{147F2762-F138-4A5C-976F-8EAC2B608ADB}">
                  <a16:predDERef xmlns:a16="http://schemas.microsoft.com/office/drawing/2014/main" pred="{B09E0594-109E-ADB6-5A4B-754F046203EC}"/>
                </a:ext>
              </a:extLst>
            </xdr14:cNvPr>
            <xdr14:cNvContentPartPr/>
          </xdr14:nvContentPartPr>
          <xdr14:nvPr macro=""/>
          <xdr14:xfrm>
            <a:off x="5910116" y="9220081"/>
            <a:ext cx="103320" cy="1602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190DCDC0-BA02-88C7-4397-55AFDA20F3CB}"/>
                </a:ext>
                <a:ext uri="{147F2762-F138-4A5C-976F-8EAC2B608ADB}">
                  <a16:predDERef xmlns:a16="http://schemas.microsoft.com/office/drawing/2014/main" pred="{B09E0594-109E-ADB6-5A4B-754F046203EC}"/>
                </a:ext>
              </a:extLst>
            </xdr:cNvPr>
            <xdr:cNvPicPr/>
          </xdr:nvPicPr>
          <xdr:blipFill>
            <a:blip xmlns:r="http://schemas.openxmlformats.org/officeDocument/2006/relationships" r:embed="rId417"/>
            <a:stretch>
              <a:fillRect/>
            </a:stretch>
          </xdr:blipFill>
          <xdr:spPr>
            <a:xfrm>
              <a:off x="5559480" y="6278400"/>
              <a:ext cx="1245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276512</xdr:colOff>
      <xdr:row>44</xdr:row>
      <xdr:rowOff>103859</xdr:rowOff>
    </xdr:from>
    <xdr:to>
      <xdr:col>8</xdr:col>
      <xdr:colOff>325112</xdr:colOff>
      <xdr:row>44</xdr:row>
      <xdr:rowOff>147419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8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D58BEA66-0F72-0A63-3D79-BCB5D6AF905D}"/>
                </a:ext>
                <a:ext uri="{147F2762-F138-4A5C-976F-8EAC2B608ADB}">
                  <a16:predDERef xmlns:a16="http://schemas.microsoft.com/office/drawing/2014/main" pred="{190DCDC0-BA02-88C7-4397-55AFDA20F3CB}"/>
                </a:ext>
              </a:extLst>
            </xdr14:cNvPr>
            <xdr14:cNvContentPartPr/>
          </xdr14:nvContentPartPr>
          <xdr14:nvPr macro=""/>
          <xdr14:xfrm>
            <a:off x="6011996" y="9321601"/>
            <a:ext cx="48600" cy="4356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D58BEA66-0F72-0A63-3D79-BCB5D6AF905D}"/>
                </a:ext>
                <a:ext uri="{147F2762-F138-4A5C-976F-8EAC2B608ADB}">
                  <a16:predDERef xmlns:a16="http://schemas.microsoft.com/office/drawing/2014/main" pred="{190DCDC0-BA02-88C7-4397-55AFDA20F3CB}"/>
                </a:ext>
              </a:extLst>
            </xdr:cNvPr>
            <xdr:cNvPicPr/>
          </xdr:nvPicPr>
          <xdr:blipFill>
            <a:blip xmlns:r="http://schemas.openxmlformats.org/officeDocument/2006/relationships" r:embed="rId419"/>
            <a:stretch>
              <a:fillRect/>
            </a:stretch>
          </xdr:blipFill>
          <xdr:spPr>
            <a:xfrm>
              <a:off x="5661000" y="6379920"/>
              <a:ext cx="6984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332672</xdr:colOff>
      <xdr:row>43</xdr:row>
      <xdr:rowOff>116520</xdr:rowOff>
    </xdr:from>
    <xdr:to>
      <xdr:col>8</xdr:col>
      <xdr:colOff>439592</xdr:colOff>
      <xdr:row>44</xdr:row>
      <xdr:rowOff>175139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0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419E558B-C7CF-4CD7-4F0B-3BE5A06BBBBF}"/>
                </a:ext>
                <a:ext uri="{147F2762-F138-4A5C-976F-8EAC2B608ADB}">
                  <a16:predDERef xmlns:a16="http://schemas.microsoft.com/office/drawing/2014/main" pred="{D58BEA66-0F72-0A63-3D79-BCB5D6AF905D}"/>
                </a:ext>
              </a:extLst>
            </xdr14:cNvPr>
            <xdr14:cNvContentPartPr/>
          </xdr14:nvContentPartPr>
          <xdr14:nvPr macro=""/>
          <xdr14:xfrm>
            <a:off x="6068156" y="9129423"/>
            <a:ext cx="106920" cy="263458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419E558B-C7CF-4CD7-4F0B-3BE5A06BBBBF}"/>
                </a:ext>
                <a:ext uri="{147F2762-F138-4A5C-976F-8EAC2B608ADB}">
                  <a16:predDERef xmlns:a16="http://schemas.microsoft.com/office/drawing/2014/main" pred="{D58BEA66-0F72-0A63-3D79-BCB5D6AF905D}"/>
                </a:ext>
              </a:extLst>
            </xdr:cNvPr>
            <xdr:cNvPicPr/>
          </xdr:nvPicPr>
          <xdr:blipFill>
            <a:blip xmlns:r="http://schemas.openxmlformats.org/officeDocument/2006/relationships" r:embed="rId421"/>
            <a:stretch>
              <a:fillRect/>
            </a:stretch>
          </xdr:blipFill>
          <xdr:spPr>
            <a:xfrm>
              <a:off x="5717160" y="6202080"/>
              <a:ext cx="12816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555672</xdr:colOff>
      <xdr:row>43</xdr:row>
      <xdr:rowOff>81240</xdr:rowOff>
    </xdr:from>
    <xdr:to>
      <xdr:col>8</xdr:col>
      <xdr:colOff>25232</xdr:colOff>
      <xdr:row>43</xdr:row>
      <xdr:rowOff>147480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9B099954-861A-A586-E45B-E74E1398C824}"/>
                </a:ext>
                <a:ext uri="{147F2762-F138-4A5C-976F-8EAC2B608ADB}">
                  <a16:predDERef xmlns:a16="http://schemas.microsoft.com/office/drawing/2014/main" pred="{419E558B-C7CF-4CD7-4F0B-3BE5A06BBBBF}"/>
                </a:ext>
              </a:extLst>
            </xdr14:cNvPr>
            <xdr14:cNvContentPartPr/>
          </xdr14:nvContentPartPr>
          <xdr14:nvPr macro=""/>
          <xdr14:xfrm>
            <a:off x="5594704" y="9094143"/>
            <a:ext cx="166012" cy="6624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9B099954-861A-A586-E45B-E74E1398C824}"/>
                </a:ext>
                <a:ext uri="{147F2762-F138-4A5C-976F-8EAC2B608ADB}">
                  <a16:predDERef xmlns:a16="http://schemas.microsoft.com/office/drawing/2014/main" pred="{419E558B-C7CF-4CD7-4F0B-3BE5A06BBBBF}"/>
                </a:ext>
              </a:extLst>
            </xdr:cNvPr>
            <xdr:cNvPicPr/>
          </xdr:nvPicPr>
          <xdr:blipFill>
            <a:blip xmlns:r="http://schemas.openxmlformats.org/officeDocument/2006/relationships" r:embed="rId423"/>
            <a:stretch>
              <a:fillRect/>
            </a:stretch>
          </xdr:blipFill>
          <xdr:spPr>
            <a:xfrm>
              <a:off x="5280120" y="6166440"/>
              <a:ext cx="15120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266072</xdr:colOff>
      <xdr:row>43</xdr:row>
      <xdr:rowOff>91320</xdr:rowOff>
    </xdr:from>
    <xdr:to>
      <xdr:col>8</xdr:col>
      <xdr:colOff>365432</xdr:colOff>
      <xdr:row>43</xdr:row>
      <xdr:rowOff>168000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4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2DA28A63-B8C0-B49C-6460-EC0CAE62483E}"/>
                </a:ext>
                <a:ext uri="{147F2762-F138-4A5C-976F-8EAC2B608ADB}">
                  <a16:predDERef xmlns:a16="http://schemas.microsoft.com/office/drawing/2014/main" pred="{9B099954-861A-A586-E45B-E74E1398C824}"/>
                </a:ext>
              </a:extLst>
            </xdr14:cNvPr>
            <xdr14:cNvContentPartPr/>
          </xdr14:nvContentPartPr>
          <xdr14:nvPr macro=""/>
          <xdr14:xfrm>
            <a:off x="6001556" y="9104223"/>
            <a:ext cx="99360" cy="766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2DA28A63-B8C0-B49C-6460-EC0CAE62483E}"/>
                </a:ext>
                <a:ext uri="{147F2762-F138-4A5C-976F-8EAC2B608ADB}">
                  <a16:predDERef xmlns:a16="http://schemas.microsoft.com/office/drawing/2014/main" pred="{9B099954-861A-A586-E45B-E74E1398C824}"/>
                </a:ext>
              </a:extLst>
            </xdr:cNvPr>
            <xdr:cNvPicPr/>
          </xdr:nvPicPr>
          <xdr:blipFill>
            <a:blip xmlns:r="http://schemas.openxmlformats.org/officeDocument/2006/relationships" r:embed="rId425"/>
            <a:stretch>
              <a:fillRect/>
            </a:stretch>
          </xdr:blipFill>
          <xdr:spPr>
            <a:xfrm>
              <a:off x="5650920" y="6176520"/>
              <a:ext cx="12060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494672</xdr:colOff>
      <xdr:row>43</xdr:row>
      <xdr:rowOff>33000</xdr:rowOff>
    </xdr:from>
    <xdr:to>
      <xdr:col>8</xdr:col>
      <xdr:colOff>533192</xdr:colOff>
      <xdr:row>43</xdr:row>
      <xdr:rowOff>124800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6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BCCB5855-761B-2E59-5A79-203DB3F0DB47}"/>
                </a:ext>
                <a:ext uri="{147F2762-F138-4A5C-976F-8EAC2B608ADB}">
                  <a16:predDERef xmlns:a16="http://schemas.microsoft.com/office/drawing/2014/main" pred="{2DA28A63-B8C0-B49C-6460-EC0CAE62483E}"/>
                </a:ext>
              </a:extLst>
            </xdr14:cNvPr>
            <xdr14:cNvContentPartPr/>
          </xdr14:nvContentPartPr>
          <xdr14:nvPr macro=""/>
          <xdr14:xfrm>
            <a:off x="6230156" y="9045903"/>
            <a:ext cx="38520" cy="918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BCCB5855-761B-2E59-5A79-203DB3F0DB47}"/>
                </a:ext>
                <a:ext uri="{147F2762-F138-4A5C-976F-8EAC2B608ADB}">
                  <a16:predDERef xmlns:a16="http://schemas.microsoft.com/office/drawing/2014/main" pred="{2DA28A63-B8C0-B49C-6460-EC0CAE62483E}"/>
                </a:ext>
              </a:extLst>
            </xdr:cNvPr>
            <xdr:cNvPicPr/>
          </xdr:nvPicPr>
          <xdr:blipFill>
            <a:blip xmlns:r="http://schemas.openxmlformats.org/officeDocument/2006/relationships" r:embed="rId427"/>
            <a:stretch>
              <a:fillRect/>
            </a:stretch>
          </xdr:blipFill>
          <xdr:spPr>
            <a:xfrm>
              <a:off x="5879520" y="6118200"/>
              <a:ext cx="5976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479552</xdr:colOff>
      <xdr:row>43</xdr:row>
      <xdr:rowOff>124440</xdr:rowOff>
    </xdr:from>
    <xdr:to>
      <xdr:col>8</xdr:col>
      <xdr:colOff>558752</xdr:colOff>
      <xdr:row>43</xdr:row>
      <xdr:rowOff>134880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580DDF12-8797-BFEE-99AE-077A4EBEACE3}"/>
                </a:ext>
                <a:ext uri="{147F2762-F138-4A5C-976F-8EAC2B608ADB}">
                  <a16:predDERef xmlns:a16="http://schemas.microsoft.com/office/drawing/2014/main" pred="{BCCB5855-761B-2E59-5A79-203DB3F0DB47}"/>
                </a:ext>
              </a:extLst>
            </xdr14:cNvPr>
            <xdr14:cNvContentPartPr/>
          </xdr14:nvContentPartPr>
          <xdr14:nvPr macro=""/>
          <xdr14:xfrm>
            <a:off x="6215036" y="9137343"/>
            <a:ext cx="79200" cy="104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580DDF12-8797-BFEE-99AE-077A4EBEACE3}"/>
                </a:ext>
                <a:ext uri="{147F2762-F138-4A5C-976F-8EAC2B608ADB}">
                  <a16:predDERef xmlns:a16="http://schemas.microsoft.com/office/drawing/2014/main" pred="{BCCB5855-761B-2E59-5A79-203DB3F0DB47}"/>
                </a:ext>
              </a:extLst>
            </xdr:cNvPr>
            <xdr:cNvPicPr/>
          </xdr:nvPicPr>
          <xdr:blipFill>
            <a:blip xmlns:r="http://schemas.openxmlformats.org/officeDocument/2006/relationships" r:embed="rId429"/>
            <a:stretch>
              <a:fillRect/>
            </a:stretch>
          </xdr:blipFill>
          <xdr:spPr>
            <a:xfrm>
              <a:off x="5864400" y="6209640"/>
              <a:ext cx="10044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522752</xdr:colOff>
      <xdr:row>43</xdr:row>
      <xdr:rowOff>154680</xdr:rowOff>
    </xdr:from>
    <xdr:to>
      <xdr:col>8</xdr:col>
      <xdr:colOff>601952</xdr:colOff>
      <xdr:row>44</xdr:row>
      <xdr:rowOff>30419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8B2F033E-DD95-C21E-9F03-2111FE6E4190}"/>
                </a:ext>
                <a:ext uri="{147F2762-F138-4A5C-976F-8EAC2B608ADB}">
                  <a16:predDERef xmlns:a16="http://schemas.microsoft.com/office/drawing/2014/main" pred="{580DDF12-8797-BFEE-99AE-077A4EBEACE3}"/>
                </a:ext>
              </a:extLst>
            </xdr14:cNvPr>
            <xdr14:cNvContentPartPr/>
          </xdr14:nvContentPartPr>
          <xdr14:nvPr macro=""/>
          <xdr14:xfrm>
            <a:off x="6258236" y="9167583"/>
            <a:ext cx="79200" cy="80578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8B2F033E-DD95-C21E-9F03-2111FE6E4190}"/>
                </a:ext>
                <a:ext uri="{147F2762-F138-4A5C-976F-8EAC2B608ADB}">
                  <a16:predDERef xmlns:a16="http://schemas.microsoft.com/office/drawing/2014/main" pred="{580DDF12-8797-BFEE-99AE-077A4EBEACE3}"/>
                </a:ext>
              </a:extLst>
            </xdr:cNvPr>
            <xdr:cNvPicPr/>
          </xdr:nvPicPr>
          <xdr:blipFill>
            <a:blip xmlns:r="http://schemas.openxmlformats.org/officeDocument/2006/relationships" r:embed="rId431"/>
            <a:stretch>
              <a:fillRect/>
            </a:stretch>
          </xdr:blipFill>
          <xdr:spPr>
            <a:xfrm>
              <a:off x="5907240" y="6240240"/>
              <a:ext cx="10044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96372</xdr:colOff>
      <xdr:row>43</xdr:row>
      <xdr:rowOff>132000</xdr:rowOff>
    </xdr:from>
    <xdr:to>
      <xdr:col>6</xdr:col>
      <xdr:colOff>604332</xdr:colOff>
      <xdr:row>46</xdr:row>
      <xdr:rowOff>132540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7AC455EC-4CA9-312E-D51F-0A1826298E6F}"/>
                </a:ext>
                <a:ext uri="{147F2762-F138-4A5C-976F-8EAC2B608ADB}">
                  <a16:predDERef xmlns:a16="http://schemas.microsoft.com/office/drawing/2014/main" pred="{8B2F033E-DD95-C21E-9F03-2111FE6E4190}"/>
                </a:ext>
              </a:extLst>
            </xdr14:cNvPr>
            <xdr14:cNvContentPartPr/>
          </xdr14:nvContentPartPr>
          <xdr14:nvPr macro=""/>
          <xdr14:xfrm>
            <a:off x="4438953" y="9144903"/>
            <a:ext cx="507960" cy="615056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7AC455EC-4CA9-312E-D51F-0A1826298E6F}"/>
                </a:ext>
                <a:ext uri="{147F2762-F138-4A5C-976F-8EAC2B608ADB}">
                  <a16:predDERef xmlns:a16="http://schemas.microsoft.com/office/drawing/2014/main" pred="{8B2F033E-DD95-C21E-9F03-2111FE6E4190}"/>
                </a:ext>
              </a:extLst>
            </xdr:cNvPr>
            <xdr:cNvPicPr/>
          </xdr:nvPicPr>
          <xdr:blipFill>
            <a:blip xmlns:r="http://schemas.openxmlformats.org/officeDocument/2006/relationships" r:embed="rId433"/>
            <a:stretch>
              <a:fillRect/>
            </a:stretch>
          </xdr:blipFill>
          <xdr:spPr>
            <a:xfrm>
              <a:off x="4172760" y="6217200"/>
              <a:ext cx="529200" cy="59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566172</xdr:colOff>
      <xdr:row>44</xdr:row>
      <xdr:rowOff>154619</xdr:rowOff>
    </xdr:from>
    <xdr:to>
      <xdr:col>7</xdr:col>
      <xdr:colOff>113952</xdr:colOff>
      <xdr:row>45</xdr:row>
      <xdr:rowOff>98759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947C4BE8-E404-1CE2-28FF-74175CF8CFB8}"/>
                </a:ext>
                <a:ext uri="{147F2762-F138-4A5C-976F-8EAC2B608ADB}">
                  <a16:predDERef xmlns:a16="http://schemas.microsoft.com/office/drawing/2014/main" pred="{7AC455EC-4CA9-312E-D51F-0A1826298E6F}"/>
                </a:ext>
              </a:extLst>
            </xdr14:cNvPr>
            <xdr14:cNvContentPartPr/>
          </xdr14:nvContentPartPr>
          <xdr14:nvPr macro=""/>
          <xdr14:xfrm>
            <a:off x="4908753" y="9372361"/>
            <a:ext cx="244231" cy="148979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947C4BE8-E404-1CE2-28FF-74175CF8CFB8}"/>
                </a:ext>
                <a:ext uri="{147F2762-F138-4A5C-976F-8EAC2B608ADB}">
                  <a16:predDERef xmlns:a16="http://schemas.microsoft.com/office/drawing/2014/main" pred="{7AC455EC-4CA9-312E-D51F-0A1826298E6F}"/>
                </a:ext>
              </a:extLst>
            </xdr:cNvPr>
            <xdr:cNvPicPr/>
          </xdr:nvPicPr>
          <xdr:blipFill>
            <a:blip xmlns:r="http://schemas.openxmlformats.org/officeDocument/2006/relationships" r:embed="rId435"/>
            <a:stretch>
              <a:fillRect/>
            </a:stretch>
          </xdr:blipFill>
          <xdr:spPr>
            <a:xfrm>
              <a:off x="4642920" y="6430680"/>
              <a:ext cx="21672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207912</xdr:colOff>
      <xdr:row>45</xdr:row>
      <xdr:rowOff>1199</xdr:rowOff>
    </xdr:from>
    <xdr:to>
      <xdr:col>8</xdr:col>
      <xdr:colOff>586472</xdr:colOff>
      <xdr:row>45</xdr:row>
      <xdr:rowOff>83999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6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864DBF24-80E1-3940-A6E3-CE237AD530F5}"/>
                </a:ext>
                <a:ext uri="{147F2762-F138-4A5C-976F-8EAC2B608ADB}">
                  <a16:predDERef xmlns:a16="http://schemas.microsoft.com/office/drawing/2014/main" pred="{947C4BE8-E404-1CE2-28FF-74175CF8CFB8}"/>
                </a:ext>
              </a:extLst>
            </xdr14:cNvPr>
            <xdr14:cNvContentPartPr/>
          </xdr14:nvContentPartPr>
          <xdr14:nvPr macro=""/>
          <xdr14:xfrm>
            <a:off x="5246944" y="9423780"/>
            <a:ext cx="1075012" cy="8280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864DBF24-80E1-3940-A6E3-CE237AD530F5}"/>
                </a:ext>
                <a:ext uri="{147F2762-F138-4A5C-976F-8EAC2B608ADB}">
                  <a16:predDERef xmlns:a16="http://schemas.microsoft.com/office/drawing/2014/main" pred="{947C4BE8-E404-1CE2-28FF-74175CF8CFB8}"/>
                </a:ext>
              </a:extLst>
            </xdr:cNvPr>
            <xdr:cNvPicPr/>
          </xdr:nvPicPr>
          <xdr:blipFill>
            <a:blip xmlns:r="http://schemas.openxmlformats.org/officeDocument/2006/relationships" r:embed="rId437"/>
            <a:stretch>
              <a:fillRect/>
            </a:stretch>
          </xdr:blipFill>
          <xdr:spPr>
            <a:xfrm>
              <a:off x="4932360" y="6467760"/>
              <a:ext cx="106020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459192</xdr:colOff>
      <xdr:row>45</xdr:row>
      <xdr:rowOff>170039</xdr:rowOff>
    </xdr:from>
    <xdr:to>
      <xdr:col>7</xdr:col>
      <xdr:colOff>566112</xdr:colOff>
      <xdr:row>46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8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87150CC0-35CA-D44C-60FB-5BB62D40C73D}"/>
                </a:ext>
                <a:ext uri="{147F2762-F138-4A5C-976F-8EAC2B608ADB}">
                  <a16:predDERef xmlns:a16="http://schemas.microsoft.com/office/drawing/2014/main" pred="{864DBF24-80E1-3940-A6E3-CE237AD530F5}"/>
                </a:ext>
              </a:extLst>
            </xdr14:cNvPr>
            <xdr14:cNvContentPartPr/>
          </xdr14:nvContentPartPr>
          <xdr14:nvPr macro=""/>
          <xdr14:xfrm>
            <a:off x="5498224" y="9592620"/>
            <a:ext cx="106920" cy="207659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87150CC0-35CA-D44C-60FB-5BB62D40C73D}"/>
                </a:ext>
                <a:ext uri="{147F2762-F138-4A5C-976F-8EAC2B608ADB}">
                  <a16:predDERef xmlns:a16="http://schemas.microsoft.com/office/drawing/2014/main" pred="{864DBF24-80E1-3940-A6E3-CE237AD530F5}"/>
                </a:ext>
              </a:extLst>
            </xdr:cNvPr>
            <xdr:cNvPicPr/>
          </xdr:nvPicPr>
          <xdr:blipFill>
            <a:blip xmlns:r="http://schemas.openxmlformats.org/officeDocument/2006/relationships" r:embed="rId439"/>
            <a:stretch>
              <a:fillRect/>
            </a:stretch>
          </xdr:blipFill>
          <xdr:spPr>
            <a:xfrm>
              <a:off x="5183640" y="6636240"/>
              <a:ext cx="12816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598872</xdr:colOff>
      <xdr:row>46</xdr:row>
      <xdr:rowOff>78540</xdr:rowOff>
    </xdr:from>
    <xdr:to>
      <xdr:col>8</xdr:col>
      <xdr:colOff>4712</xdr:colOff>
      <xdr:row>46</xdr:row>
      <xdr:rowOff>109500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DD373DB0-668C-CC3E-7BDB-87EEE924A5DF}"/>
                </a:ext>
                <a:ext uri="{147F2762-F138-4A5C-976F-8EAC2B608ADB}">
                  <a16:predDERef xmlns:a16="http://schemas.microsoft.com/office/drawing/2014/main" pred="{87150CC0-35CA-D44C-60FB-5BB62D40C73D}"/>
                </a:ext>
              </a:extLst>
            </xdr14:cNvPr>
            <xdr14:cNvContentPartPr/>
          </xdr14:nvContentPartPr>
          <xdr14:nvPr macro=""/>
          <xdr14:xfrm>
            <a:off x="5637904" y="9705959"/>
            <a:ext cx="102292" cy="309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DD373DB0-668C-CC3E-7BDB-87EEE924A5DF}"/>
                </a:ext>
                <a:ext uri="{147F2762-F138-4A5C-976F-8EAC2B608ADB}">
                  <a16:predDERef xmlns:a16="http://schemas.microsoft.com/office/drawing/2014/main" pred="{87150CC0-35CA-D44C-60FB-5BB62D40C73D}"/>
                </a:ext>
              </a:extLst>
            </xdr:cNvPr>
            <xdr:cNvPicPr/>
          </xdr:nvPicPr>
          <xdr:blipFill>
            <a:blip xmlns:r="http://schemas.openxmlformats.org/officeDocument/2006/relationships" r:embed="rId441"/>
            <a:stretch>
              <a:fillRect/>
            </a:stretch>
          </xdr:blipFill>
          <xdr:spPr>
            <a:xfrm>
              <a:off x="5323320" y="6735600"/>
              <a:ext cx="87480" cy="5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670564</xdr:colOff>
      <xdr:row>46</xdr:row>
      <xdr:rowOff>60900</xdr:rowOff>
    </xdr:from>
    <xdr:to>
      <xdr:col>8</xdr:col>
      <xdr:colOff>12632</xdr:colOff>
      <xdr:row>46</xdr:row>
      <xdr:rowOff>150900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2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CF7ECE79-0734-CA3D-DBFF-5A97276A91C8}"/>
                </a:ext>
                <a:ext uri="{147F2762-F138-4A5C-976F-8EAC2B608ADB}">
                  <a16:predDERef xmlns:a16="http://schemas.microsoft.com/office/drawing/2014/main" pred="{DD373DB0-668C-CC3E-7BDB-87EEE924A5DF}"/>
                </a:ext>
              </a:extLst>
            </xdr14:cNvPr>
            <xdr14:cNvContentPartPr/>
          </xdr14:nvContentPartPr>
          <xdr14:nvPr macro=""/>
          <xdr14:xfrm>
            <a:off x="5709596" y="9688319"/>
            <a:ext cx="38520" cy="90000"/>
          </xdr14:xfrm>
        </xdr:contentPart>
      </mc:Choice>
      <mc:Fallback xmlns=""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CF7ECE79-0734-CA3D-DBFF-5A97276A91C8}"/>
                </a:ext>
                <a:ext uri="{147F2762-F138-4A5C-976F-8EAC2B608ADB}">
                  <a16:predDERef xmlns:a16="http://schemas.microsoft.com/office/drawing/2014/main" pred="{DD373DB0-668C-CC3E-7BDB-87EEE924A5DF}"/>
                </a:ext>
              </a:extLst>
            </xdr:cNvPr>
            <xdr:cNvPicPr/>
          </xdr:nvPicPr>
          <xdr:blipFill>
            <a:blip xmlns:r="http://schemas.openxmlformats.org/officeDocument/2006/relationships" r:embed="rId443"/>
            <a:stretch>
              <a:fillRect/>
            </a:stretch>
          </xdr:blipFill>
          <xdr:spPr>
            <a:xfrm>
              <a:off x="5358600" y="6717600"/>
              <a:ext cx="5976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47912</xdr:colOff>
      <xdr:row>46</xdr:row>
      <xdr:rowOff>20220</xdr:rowOff>
    </xdr:from>
    <xdr:to>
      <xdr:col>8</xdr:col>
      <xdr:colOff>127112</xdr:colOff>
      <xdr:row>46</xdr:row>
      <xdr:rowOff>145140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4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A7C7B9E3-47F9-32AB-A5FD-BF4FF80742C6}"/>
                </a:ext>
                <a:ext uri="{147F2762-F138-4A5C-976F-8EAC2B608ADB}">
                  <a16:predDERef xmlns:a16="http://schemas.microsoft.com/office/drawing/2014/main" pred="{CF7ECE79-0734-CA3D-DBFF-5A97276A91C8}"/>
                </a:ext>
              </a:extLst>
            </xdr14:cNvPr>
            <xdr14:cNvContentPartPr/>
          </xdr14:nvContentPartPr>
          <xdr14:nvPr macro=""/>
          <xdr14:xfrm>
            <a:off x="5783396" y="9647639"/>
            <a:ext cx="79200" cy="124920"/>
          </xdr14:xfrm>
        </xdr:contentPart>
      </mc:Choice>
      <mc:Fallback xmlns=""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A7C7B9E3-47F9-32AB-A5FD-BF4FF80742C6}"/>
                </a:ext>
                <a:ext uri="{147F2762-F138-4A5C-976F-8EAC2B608ADB}">
                  <a16:predDERef xmlns:a16="http://schemas.microsoft.com/office/drawing/2014/main" pred="{CF7ECE79-0734-CA3D-DBFF-5A97276A91C8}"/>
                </a:ext>
              </a:extLst>
            </xdr:cNvPr>
            <xdr:cNvPicPr/>
          </xdr:nvPicPr>
          <xdr:blipFill>
            <a:blip xmlns:r="http://schemas.openxmlformats.org/officeDocument/2006/relationships" r:embed="rId445"/>
            <a:stretch>
              <a:fillRect/>
            </a:stretch>
          </xdr:blipFill>
          <xdr:spPr>
            <a:xfrm>
              <a:off x="5432400" y="6676920"/>
              <a:ext cx="10044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137552</xdr:colOff>
      <xdr:row>46</xdr:row>
      <xdr:rowOff>88620</xdr:rowOff>
    </xdr:from>
    <xdr:to>
      <xdr:col>8</xdr:col>
      <xdr:colOff>215672</xdr:colOff>
      <xdr:row>46</xdr:row>
      <xdr:rowOff>142260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6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16DF932E-BB90-AC43-718D-F29B5F65EE8E}"/>
                </a:ext>
                <a:ext uri="{147F2762-F138-4A5C-976F-8EAC2B608ADB}">
                  <a16:predDERef xmlns:a16="http://schemas.microsoft.com/office/drawing/2014/main" pred="{A7C7B9E3-47F9-32AB-A5FD-BF4FF80742C6}"/>
                </a:ext>
              </a:extLst>
            </xdr14:cNvPr>
            <xdr14:cNvContentPartPr/>
          </xdr14:nvContentPartPr>
          <xdr14:nvPr macro=""/>
          <xdr14:xfrm>
            <a:off x="5873036" y="9716039"/>
            <a:ext cx="78120" cy="536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16DF932E-BB90-AC43-718D-F29B5F65EE8E}"/>
                </a:ext>
                <a:ext uri="{147F2762-F138-4A5C-976F-8EAC2B608ADB}">
                  <a16:predDERef xmlns:a16="http://schemas.microsoft.com/office/drawing/2014/main" pred="{A7C7B9E3-47F9-32AB-A5FD-BF4FF80742C6}"/>
                </a:ext>
              </a:extLst>
            </xdr:cNvPr>
            <xdr:cNvPicPr/>
          </xdr:nvPicPr>
          <xdr:blipFill>
            <a:blip xmlns:r="http://schemas.openxmlformats.org/officeDocument/2006/relationships" r:embed="rId447"/>
            <a:stretch>
              <a:fillRect/>
            </a:stretch>
          </xdr:blipFill>
          <xdr:spPr>
            <a:xfrm>
              <a:off x="5522040" y="6745680"/>
              <a:ext cx="9936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55632</xdr:colOff>
      <xdr:row>42</xdr:row>
      <xdr:rowOff>172379</xdr:rowOff>
    </xdr:from>
    <xdr:to>
      <xdr:col>7</xdr:col>
      <xdr:colOff>261552</xdr:colOff>
      <xdr:row>47</xdr:row>
      <xdr:rowOff>104040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8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F5B0C68E-BD68-2D8B-F2D6-B2152BAE322D}"/>
                </a:ext>
                <a:ext uri="{147F2762-F138-4A5C-976F-8EAC2B608ADB}">
                  <a16:predDERef xmlns:a16="http://schemas.microsoft.com/office/drawing/2014/main" pred="{16DF932E-BB90-AC43-718D-F29B5F65EE8E}"/>
                </a:ext>
              </a:extLst>
            </xdr14:cNvPr>
            <xdr14:cNvContentPartPr/>
          </xdr14:nvContentPartPr>
          <xdr14:nvPr macro=""/>
          <xdr14:xfrm>
            <a:off x="5094664" y="8980444"/>
            <a:ext cx="205920" cy="955854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F5B0C68E-BD68-2D8B-F2D6-B2152BAE322D}"/>
                </a:ext>
                <a:ext uri="{147F2762-F138-4A5C-976F-8EAC2B608ADB}">
                  <a16:predDERef xmlns:a16="http://schemas.microsoft.com/office/drawing/2014/main" pred="{16DF932E-BB90-AC43-718D-F29B5F65EE8E}"/>
                </a:ext>
              </a:extLst>
            </xdr:cNvPr>
            <xdr:cNvPicPr/>
          </xdr:nvPicPr>
          <xdr:blipFill>
            <a:blip xmlns:r="http://schemas.openxmlformats.org/officeDocument/2006/relationships" r:embed="rId449"/>
            <a:stretch>
              <a:fillRect/>
            </a:stretch>
          </xdr:blipFill>
          <xdr:spPr>
            <a:xfrm>
              <a:off x="4780080" y="6067440"/>
              <a:ext cx="227160" cy="90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12212</xdr:colOff>
      <xdr:row>43</xdr:row>
      <xdr:rowOff>53160</xdr:rowOff>
    </xdr:from>
    <xdr:to>
      <xdr:col>9</xdr:col>
      <xdr:colOff>213092</xdr:colOff>
      <xdr:row>46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2A9BA259-4EF2-42AA-CD5F-59A0F7F8B6E4}"/>
                </a:ext>
                <a:ext uri="{147F2762-F138-4A5C-976F-8EAC2B608ADB}">
                  <a16:predDERef xmlns:a16="http://schemas.microsoft.com/office/drawing/2014/main" pred="{F5B0C68E-BD68-2D8B-F2D6-B2152BAE322D}"/>
                </a:ext>
              </a:extLst>
            </xdr14:cNvPr>
            <xdr14:cNvContentPartPr/>
          </xdr14:nvContentPartPr>
          <xdr14:nvPr macro=""/>
          <xdr14:xfrm>
            <a:off x="6444147" y="9066063"/>
            <a:ext cx="200880" cy="725576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2A9BA259-4EF2-42AA-CD5F-59A0F7F8B6E4}"/>
                </a:ext>
                <a:ext uri="{147F2762-F138-4A5C-976F-8EAC2B608ADB}">
                  <a16:predDERef xmlns:a16="http://schemas.microsoft.com/office/drawing/2014/main" pred="{F5B0C68E-BD68-2D8B-F2D6-B2152BAE322D}"/>
                </a:ext>
              </a:extLst>
            </xdr:cNvPr>
            <xdr:cNvPicPr/>
          </xdr:nvPicPr>
          <xdr:blipFill>
            <a:blip xmlns:r="http://schemas.openxmlformats.org/officeDocument/2006/relationships" r:embed="rId451"/>
            <a:stretch>
              <a:fillRect/>
            </a:stretch>
          </xdr:blipFill>
          <xdr:spPr>
            <a:xfrm>
              <a:off x="6044400" y="6138720"/>
              <a:ext cx="222120" cy="70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215252</xdr:colOff>
      <xdr:row>43</xdr:row>
      <xdr:rowOff>15000</xdr:rowOff>
    </xdr:from>
    <xdr:to>
      <xdr:col>9</xdr:col>
      <xdr:colOff>332612</xdr:colOff>
      <xdr:row>43</xdr:row>
      <xdr:rowOff>111840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0C36CF16-AC37-E294-2D42-26D5748AE3A5}"/>
                </a:ext>
                <a:ext uri="{147F2762-F138-4A5C-976F-8EAC2B608ADB}">
                  <a16:predDERef xmlns:a16="http://schemas.microsoft.com/office/drawing/2014/main" pred="{2A9BA259-4EF2-42AA-CD5F-59A0F7F8B6E4}"/>
                </a:ext>
              </a:extLst>
            </xdr14:cNvPr>
            <xdr14:cNvContentPartPr/>
          </xdr14:nvContentPartPr>
          <xdr14:nvPr macro=""/>
          <xdr14:xfrm>
            <a:off x="6647187" y="9027903"/>
            <a:ext cx="117360" cy="9684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0C36CF16-AC37-E294-2D42-26D5748AE3A5}"/>
                </a:ext>
                <a:ext uri="{147F2762-F138-4A5C-976F-8EAC2B608ADB}">
                  <a16:predDERef xmlns:a16="http://schemas.microsoft.com/office/drawing/2014/main" pred="{2A9BA259-4EF2-42AA-CD5F-59A0F7F8B6E4}"/>
                </a:ext>
              </a:extLst>
            </xdr:cNvPr>
            <xdr:cNvPicPr/>
          </xdr:nvPicPr>
          <xdr:blipFill>
            <a:blip xmlns:r="http://schemas.openxmlformats.org/officeDocument/2006/relationships" r:embed="rId453"/>
            <a:stretch>
              <a:fillRect/>
            </a:stretch>
          </xdr:blipFill>
          <xdr:spPr>
            <a:xfrm>
              <a:off x="6247800" y="6100560"/>
              <a:ext cx="13860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301652</xdr:colOff>
      <xdr:row>42</xdr:row>
      <xdr:rowOff>111539</xdr:rowOff>
    </xdr:from>
    <xdr:to>
      <xdr:col>9</xdr:col>
      <xdr:colOff>449252</xdr:colOff>
      <xdr:row>46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4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250D636C-67C9-F480-5B85-A33F5470427B}"/>
                </a:ext>
                <a:ext uri="{147F2762-F138-4A5C-976F-8EAC2B608ADB}">
                  <a16:predDERef xmlns:a16="http://schemas.microsoft.com/office/drawing/2014/main" pred="{0C36CF16-AC37-E294-2D42-26D5748AE3A5}"/>
                </a:ext>
              </a:extLst>
            </xdr14:cNvPr>
            <xdr14:cNvContentPartPr/>
          </xdr14:nvContentPartPr>
          <xdr14:nvPr macro=""/>
          <xdr14:xfrm>
            <a:off x="6733587" y="8919604"/>
            <a:ext cx="147600" cy="856555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250D636C-67C9-F480-5B85-A33F5470427B}"/>
                </a:ext>
                <a:ext uri="{147F2762-F138-4A5C-976F-8EAC2B608ADB}">
                  <a16:predDERef xmlns:a16="http://schemas.microsoft.com/office/drawing/2014/main" pred="{0C36CF16-AC37-E294-2D42-26D5748AE3A5}"/>
                </a:ext>
              </a:extLst>
            </xdr:cNvPr>
            <xdr:cNvPicPr/>
          </xdr:nvPicPr>
          <xdr:blipFill>
            <a:blip xmlns:r="http://schemas.openxmlformats.org/officeDocument/2006/relationships" r:embed="rId455"/>
            <a:stretch>
              <a:fillRect/>
            </a:stretch>
          </xdr:blipFill>
          <xdr:spPr>
            <a:xfrm>
              <a:off x="6334200" y="6006600"/>
              <a:ext cx="168840" cy="82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362172</xdr:colOff>
      <xdr:row>42</xdr:row>
      <xdr:rowOff>93087</xdr:rowOff>
    </xdr:from>
    <xdr:to>
      <xdr:col>9</xdr:col>
      <xdr:colOff>618492</xdr:colOff>
      <xdr:row>47</xdr:row>
      <xdr:rowOff>82902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6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81B85467-CB1A-9BFD-BBCA-8957EEEEBE13}"/>
                </a:ext>
                <a:ext uri="{147F2762-F138-4A5C-976F-8EAC2B608ADB}">
                  <a16:predDERef xmlns:a16="http://schemas.microsoft.com/office/drawing/2014/main" pred="{250D636C-67C9-F480-5B85-A33F5470427B}"/>
                </a:ext>
              </a:extLst>
            </xdr14:cNvPr>
            <xdr14:cNvContentPartPr/>
          </xdr14:nvContentPartPr>
          <xdr14:nvPr macro=""/>
          <xdr14:xfrm>
            <a:off x="6794107" y="8901152"/>
            <a:ext cx="256320" cy="1014008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81B85467-CB1A-9BFD-BBCA-8957EEEEBE13}"/>
                </a:ext>
                <a:ext uri="{147F2762-F138-4A5C-976F-8EAC2B608ADB}">
                  <a16:predDERef xmlns:a16="http://schemas.microsoft.com/office/drawing/2014/main" pred="{250D636C-67C9-F480-5B85-A33F5470427B}"/>
                </a:ext>
              </a:extLst>
            </xdr:cNvPr>
            <xdr:cNvPicPr/>
          </xdr:nvPicPr>
          <xdr:blipFill>
            <a:blip xmlns:r="http://schemas.openxmlformats.org/officeDocument/2006/relationships" r:embed="rId457"/>
            <a:stretch>
              <a:fillRect/>
            </a:stretch>
          </xdr:blipFill>
          <xdr:spPr>
            <a:xfrm>
              <a:off x="6393240" y="5960160"/>
              <a:ext cx="277560" cy="9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931374</xdr:colOff>
      <xdr:row>41</xdr:row>
      <xdr:rowOff>39684</xdr:rowOff>
    </xdr:from>
    <xdr:to>
      <xdr:col>10</xdr:col>
      <xdr:colOff>4595</xdr:colOff>
      <xdr:row>41</xdr:row>
      <xdr:rowOff>166044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8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596C922F-EDD2-94C7-57EA-CDB1AB473747}"/>
                </a:ext>
                <a:ext uri="{147F2762-F138-4A5C-976F-8EAC2B608ADB}">
                  <a16:predDERef xmlns:a16="http://schemas.microsoft.com/office/drawing/2014/main" pred="{81B85467-CB1A-9BFD-BBCA-8957EEEEBE13}"/>
                </a:ext>
              </a:extLst>
            </xdr14:cNvPr>
            <xdr14:cNvContentPartPr/>
          </xdr14:nvContentPartPr>
          <xdr14:nvPr macro=""/>
          <xdr14:xfrm>
            <a:off x="7363309" y="8642910"/>
            <a:ext cx="15480" cy="1263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596C922F-EDD2-94C7-57EA-CDB1AB473747}"/>
                </a:ext>
                <a:ext uri="{147F2762-F138-4A5C-976F-8EAC2B608ADB}">
                  <a16:predDERef xmlns:a16="http://schemas.microsoft.com/office/drawing/2014/main" pred="{81B85467-CB1A-9BFD-BBCA-8957EEEEBE13}"/>
                </a:ext>
              </a:extLst>
            </xdr:cNvPr>
            <xdr:cNvPicPr/>
          </xdr:nvPicPr>
          <xdr:blipFill>
            <a:blip xmlns:r="http://schemas.openxmlformats.org/officeDocument/2006/relationships" r:embed="rId459"/>
            <a:stretch>
              <a:fillRect/>
            </a:stretch>
          </xdr:blipFill>
          <xdr:spPr>
            <a:xfrm>
              <a:off x="6850800" y="5716800"/>
              <a:ext cx="3672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733692</xdr:colOff>
      <xdr:row>41</xdr:row>
      <xdr:rowOff>186564</xdr:rowOff>
    </xdr:from>
    <xdr:to>
      <xdr:col>10</xdr:col>
      <xdr:colOff>3831</xdr:colOff>
      <xdr:row>42</xdr:row>
      <xdr:rowOff>21447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0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0F6A2AEA-A101-FA19-BB8D-02A030379903}"/>
                </a:ext>
                <a:ext uri="{147F2762-F138-4A5C-976F-8EAC2B608ADB}">
                  <a16:predDERef xmlns:a16="http://schemas.microsoft.com/office/drawing/2014/main" pred="{596C922F-EDD2-94C7-57EA-CDB1AB473747}"/>
                </a:ext>
              </a:extLst>
            </xdr14:cNvPr>
            <xdr14:cNvContentPartPr/>
          </xdr14:nvContentPartPr>
          <xdr14:nvPr macro=""/>
          <xdr14:xfrm>
            <a:off x="7165627" y="8789790"/>
            <a:ext cx="203589" cy="39722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0F6A2AEA-A101-FA19-BB8D-02A030379903}"/>
                </a:ext>
                <a:ext uri="{147F2762-F138-4A5C-976F-8EAC2B608ADB}">
                  <a16:predDERef xmlns:a16="http://schemas.microsoft.com/office/drawing/2014/main" pred="{596C922F-EDD2-94C7-57EA-CDB1AB473747}"/>
                </a:ext>
              </a:extLst>
            </xdr:cNvPr>
            <xdr:cNvPicPr/>
          </xdr:nvPicPr>
          <xdr:blipFill>
            <a:blip xmlns:r="http://schemas.openxmlformats.org/officeDocument/2006/relationships" r:embed="rId461"/>
            <a:stretch>
              <a:fillRect/>
            </a:stretch>
          </xdr:blipFill>
          <xdr:spPr>
            <a:xfrm>
              <a:off x="6764760" y="5863680"/>
              <a:ext cx="15552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925254</xdr:colOff>
      <xdr:row>42</xdr:row>
      <xdr:rowOff>68967</xdr:rowOff>
    </xdr:from>
    <xdr:to>
      <xdr:col>10</xdr:col>
      <xdr:colOff>91715</xdr:colOff>
      <xdr:row>42</xdr:row>
      <xdr:rowOff>150687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2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6496918C-B91B-E9E9-5015-8170A8C9580F}"/>
                </a:ext>
                <a:ext uri="{147F2762-F138-4A5C-976F-8EAC2B608ADB}">
                  <a16:predDERef xmlns:a16="http://schemas.microsoft.com/office/drawing/2014/main" pred="{0F6A2AEA-A101-FA19-BB8D-02A030379903}"/>
                </a:ext>
              </a:extLst>
            </xdr14:cNvPr>
            <xdr14:cNvContentPartPr/>
          </xdr14:nvContentPartPr>
          <xdr14:nvPr macro=""/>
          <xdr14:xfrm>
            <a:off x="7357189" y="8877032"/>
            <a:ext cx="108720" cy="81720"/>
          </xdr14:xfrm>
        </xdr:contentPart>
      </mc:Choice>
      <mc:Fallback xmlns=""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6496918C-B91B-E9E9-5015-8170A8C9580F}"/>
                </a:ext>
                <a:ext uri="{147F2762-F138-4A5C-976F-8EAC2B608ADB}">
                  <a16:predDERef xmlns:a16="http://schemas.microsoft.com/office/drawing/2014/main" pred="{0F6A2AEA-A101-FA19-BB8D-02A030379903}"/>
                </a:ext>
              </a:extLst>
            </xdr:cNvPr>
            <xdr:cNvPicPr/>
          </xdr:nvPicPr>
          <xdr:blipFill>
            <a:blip xmlns:r="http://schemas.openxmlformats.org/officeDocument/2006/relationships" r:embed="rId463"/>
            <a:stretch>
              <a:fillRect/>
            </a:stretch>
          </xdr:blipFill>
          <xdr:spPr>
            <a:xfrm>
              <a:off x="6844680" y="5936040"/>
              <a:ext cx="12996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397694</xdr:colOff>
      <xdr:row>26</xdr:row>
      <xdr:rowOff>122182</xdr:rowOff>
    </xdr:from>
    <xdr:to>
      <xdr:col>14</xdr:col>
      <xdr:colOff>437294</xdr:colOff>
      <xdr:row>26</xdr:row>
      <xdr:rowOff>134062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F66C1521-6B86-C3B3-1380-F6901D3ED4FE}"/>
                </a:ext>
                <a:ext uri="{147F2762-F138-4A5C-976F-8EAC2B608ADB}">
                  <a16:predDERef xmlns:a16="http://schemas.microsoft.com/office/drawing/2014/main" pred="{6496918C-B91B-E9E9-5015-8170A8C9580F}"/>
                </a:ext>
              </a:extLst>
            </xdr14:cNvPr>
            <xdr14:cNvContentPartPr/>
          </xdr14:nvContentPartPr>
          <xdr14:nvPr macro=""/>
          <xdr14:xfrm>
            <a:off x="10639629" y="5652827"/>
            <a:ext cx="39600" cy="1188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F66C1521-6B86-C3B3-1380-F6901D3ED4FE}"/>
                </a:ext>
                <a:ext uri="{147F2762-F138-4A5C-976F-8EAC2B608ADB}">
                  <a16:predDERef xmlns:a16="http://schemas.microsoft.com/office/drawing/2014/main" pred="{6496918C-B91B-E9E9-5015-8170A8C9580F}"/>
                </a:ext>
              </a:extLst>
            </xdr:cNvPr>
            <xdr:cNvPicPr/>
          </xdr:nvPicPr>
          <xdr:blipFill>
            <a:blip xmlns:r="http://schemas.openxmlformats.org/officeDocument/2006/relationships" r:embed="rId465"/>
            <a:stretch>
              <a:fillRect/>
            </a:stretch>
          </xdr:blipFill>
          <xdr:spPr>
            <a:xfrm>
              <a:off x="9881280" y="2986560"/>
              <a:ext cx="6084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429734</xdr:colOff>
      <xdr:row>26</xdr:row>
      <xdr:rowOff>143062</xdr:rowOff>
    </xdr:from>
    <xdr:to>
      <xdr:col>14</xdr:col>
      <xdr:colOff>439454</xdr:colOff>
      <xdr:row>27</xdr:row>
      <xdr:rowOff>50766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CCEF082E-6236-AF04-DCBD-1879F91C9383}"/>
                </a:ext>
                <a:ext uri="{147F2762-F138-4A5C-976F-8EAC2B608ADB}">
                  <a16:predDERef xmlns:a16="http://schemas.microsoft.com/office/drawing/2014/main" pred="{F66C1521-6B86-C3B3-1380-F6901D3ED4FE}"/>
                </a:ext>
              </a:extLst>
            </xdr14:cNvPr>
            <xdr14:cNvContentPartPr/>
          </xdr14:nvContentPartPr>
          <xdr14:nvPr macro=""/>
          <xdr14:xfrm>
            <a:off x="10671669" y="5673707"/>
            <a:ext cx="9720" cy="112543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CCEF082E-6236-AF04-DCBD-1879F91C9383}"/>
                </a:ext>
                <a:ext uri="{147F2762-F138-4A5C-976F-8EAC2B608ADB}">
                  <a16:predDERef xmlns:a16="http://schemas.microsoft.com/office/drawing/2014/main" pred="{F66C1521-6B86-C3B3-1380-F6901D3ED4FE}"/>
                </a:ext>
              </a:extLst>
            </xdr:cNvPr>
            <xdr:cNvPicPr/>
          </xdr:nvPicPr>
          <xdr:blipFill>
            <a:blip xmlns:r="http://schemas.openxmlformats.org/officeDocument/2006/relationships" r:embed="rId467"/>
            <a:stretch>
              <a:fillRect/>
            </a:stretch>
          </xdr:blipFill>
          <xdr:spPr>
            <a:xfrm>
              <a:off x="9913680" y="3007080"/>
              <a:ext cx="3096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469334</xdr:colOff>
      <xdr:row>26</xdr:row>
      <xdr:rowOff>145582</xdr:rowOff>
    </xdr:from>
    <xdr:to>
      <xdr:col>14</xdr:col>
      <xdr:colOff>541334</xdr:colOff>
      <xdr:row>27</xdr:row>
      <xdr:rowOff>32406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8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89DB38C6-C780-D948-D874-EAB7389F44BA}"/>
                </a:ext>
                <a:ext uri="{147F2762-F138-4A5C-976F-8EAC2B608ADB}">
                  <a16:predDERef xmlns:a16="http://schemas.microsoft.com/office/drawing/2014/main" pred="{CCEF082E-6236-AF04-DCBD-1879F91C9383}"/>
                </a:ext>
              </a:extLst>
            </xdr14:cNvPr>
            <xdr14:cNvContentPartPr/>
          </xdr14:nvContentPartPr>
          <xdr14:nvPr macro=""/>
          <xdr14:xfrm>
            <a:off x="10711269" y="5676227"/>
            <a:ext cx="72000" cy="91663"/>
          </xdr14:xfrm>
        </xdr:contentPart>
      </mc:Choice>
      <mc:Fallback xmlns=""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89DB38C6-C780-D948-D874-EAB7389F44BA}"/>
                </a:ext>
                <a:ext uri="{147F2762-F138-4A5C-976F-8EAC2B608ADB}">
                  <a16:predDERef xmlns:a16="http://schemas.microsoft.com/office/drawing/2014/main" pred="{CCEF082E-6236-AF04-DCBD-1879F91C9383}"/>
                </a:ext>
              </a:extLst>
            </xdr:cNvPr>
            <xdr:cNvPicPr/>
          </xdr:nvPicPr>
          <xdr:blipFill>
            <a:blip xmlns:r="http://schemas.openxmlformats.org/officeDocument/2006/relationships" r:embed="rId469"/>
            <a:stretch>
              <a:fillRect/>
            </a:stretch>
          </xdr:blipFill>
          <xdr:spPr>
            <a:xfrm>
              <a:off x="9952920" y="3009600"/>
              <a:ext cx="9324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85774</xdr:colOff>
      <xdr:row>26</xdr:row>
      <xdr:rowOff>47302</xdr:rowOff>
    </xdr:from>
    <xdr:to>
      <xdr:col>15</xdr:col>
      <xdr:colOff>95494</xdr:colOff>
      <xdr:row>27</xdr:row>
      <xdr:rowOff>46446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0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08103CC9-76AB-A73A-84F8-B749C12EB1DC}"/>
                </a:ext>
                <a:ext uri="{147F2762-F138-4A5C-976F-8EAC2B608ADB}">
                  <a16:predDERef xmlns:a16="http://schemas.microsoft.com/office/drawing/2014/main" pred="{89DB38C6-C780-D948-D874-EAB7389F44BA}"/>
                </a:ext>
              </a:extLst>
            </xdr14:cNvPr>
            <xdr14:cNvContentPartPr/>
          </xdr14:nvContentPartPr>
          <xdr14:nvPr macro=""/>
          <xdr14:xfrm>
            <a:off x="11065129" y="5577947"/>
            <a:ext cx="9720" cy="203983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08103CC9-76AB-A73A-84F8-B749C12EB1DC}"/>
                </a:ext>
                <a:ext uri="{147F2762-F138-4A5C-976F-8EAC2B608ADB}">
                  <a16:predDERef xmlns:a16="http://schemas.microsoft.com/office/drawing/2014/main" pred="{89DB38C6-C780-D948-D874-EAB7389F44BA}"/>
                </a:ext>
              </a:extLst>
            </xdr:cNvPr>
            <xdr:cNvPicPr/>
          </xdr:nvPicPr>
          <xdr:blipFill>
            <a:blip xmlns:r="http://schemas.openxmlformats.org/officeDocument/2006/relationships" r:embed="rId471"/>
            <a:stretch>
              <a:fillRect/>
            </a:stretch>
          </xdr:blipFill>
          <xdr:spPr>
            <a:xfrm>
              <a:off x="10230120" y="2911320"/>
              <a:ext cx="309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76774</xdr:colOff>
      <xdr:row>26</xdr:row>
      <xdr:rowOff>23902</xdr:rowOff>
    </xdr:from>
    <xdr:to>
      <xdr:col>15</xdr:col>
      <xdr:colOff>234094</xdr:colOff>
      <xdr:row>27</xdr:row>
      <xdr:rowOff>39246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2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1083752D-30B2-6CEB-197A-970BB22C98FB}"/>
                </a:ext>
                <a:ext uri="{147F2762-F138-4A5C-976F-8EAC2B608ADB}">
                  <a16:predDERef xmlns:a16="http://schemas.microsoft.com/office/drawing/2014/main" pred="{08103CC9-76AB-A73A-84F8-B749C12EB1DC}"/>
                </a:ext>
              </a:extLst>
            </xdr14:cNvPr>
            <xdr14:cNvContentPartPr/>
          </xdr14:nvContentPartPr>
          <xdr14:nvPr macro=""/>
          <xdr14:xfrm>
            <a:off x="11056129" y="5554547"/>
            <a:ext cx="157320" cy="220183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1083752D-30B2-6CEB-197A-970BB22C98FB}"/>
                </a:ext>
                <a:ext uri="{147F2762-F138-4A5C-976F-8EAC2B608ADB}">
                  <a16:predDERef xmlns:a16="http://schemas.microsoft.com/office/drawing/2014/main" pred="{08103CC9-76AB-A73A-84F8-B749C12EB1DC}"/>
                </a:ext>
              </a:extLst>
            </xdr:cNvPr>
            <xdr:cNvPicPr/>
          </xdr:nvPicPr>
          <xdr:blipFill>
            <a:blip xmlns:r="http://schemas.openxmlformats.org/officeDocument/2006/relationships" r:embed="rId473"/>
            <a:stretch>
              <a:fillRect/>
            </a:stretch>
          </xdr:blipFill>
          <xdr:spPr>
            <a:xfrm>
              <a:off x="10220760" y="2888280"/>
              <a:ext cx="1785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281974</xdr:colOff>
      <xdr:row>26</xdr:row>
      <xdr:rowOff>34342</xdr:rowOff>
    </xdr:from>
    <xdr:to>
      <xdr:col>15</xdr:col>
      <xdr:colOff>287014</xdr:colOff>
      <xdr:row>27</xdr:row>
      <xdr:rowOff>2526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4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B1DE3C28-8154-ACFD-07C2-E7717CD6EC14}"/>
                </a:ext>
                <a:ext uri="{147F2762-F138-4A5C-976F-8EAC2B608ADB}">
                  <a16:predDERef xmlns:a16="http://schemas.microsoft.com/office/drawing/2014/main" pred="{1083752D-30B2-6CEB-197A-970BB22C98FB}"/>
                </a:ext>
              </a:extLst>
            </xdr14:cNvPr>
            <xdr14:cNvContentPartPr/>
          </xdr14:nvContentPartPr>
          <xdr14:nvPr macro=""/>
          <xdr14:xfrm>
            <a:off x="11261329" y="5564987"/>
            <a:ext cx="5040" cy="173023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B1DE3C28-8154-ACFD-07C2-E7717CD6EC14}"/>
                </a:ext>
                <a:ext uri="{147F2762-F138-4A5C-976F-8EAC2B608ADB}">
                  <a16:predDERef xmlns:a16="http://schemas.microsoft.com/office/drawing/2014/main" pred="{1083752D-30B2-6CEB-197A-970BB22C98FB}"/>
                </a:ext>
              </a:extLst>
            </xdr:cNvPr>
            <xdr:cNvPicPr/>
          </xdr:nvPicPr>
          <xdr:blipFill>
            <a:blip xmlns:r="http://schemas.openxmlformats.org/officeDocument/2006/relationships" r:embed="rId475"/>
            <a:stretch>
              <a:fillRect/>
            </a:stretch>
          </xdr:blipFill>
          <xdr:spPr>
            <a:xfrm>
              <a:off x="10426320" y="2898720"/>
              <a:ext cx="2628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321214</xdr:colOff>
      <xdr:row>26</xdr:row>
      <xdr:rowOff>170782</xdr:rowOff>
    </xdr:from>
    <xdr:to>
      <xdr:col>15</xdr:col>
      <xdr:colOff>330934</xdr:colOff>
      <xdr:row>26</xdr:row>
      <xdr:rowOff>177982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6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6D572460-6838-68F1-4DC3-A0F0C936B278}"/>
                </a:ext>
                <a:ext uri="{147F2762-F138-4A5C-976F-8EAC2B608ADB}">
                  <a16:predDERef xmlns:a16="http://schemas.microsoft.com/office/drawing/2014/main" pred="{B1DE3C28-8154-ACFD-07C2-E7717CD6EC14}"/>
                </a:ext>
              </a:extLst>
            </xdr14:cNvPr>
            <xdr14:cNvContentPartPr/>
          </xdr14:nvContentPartPr>
          <xdr14:nvPr macro=""/>
          <xdr14:xfrm>
            <a:off x="11300569" y="5701427"/>
            <a:ext cx="9720" cy="720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6D572460-6838-68F1-4DC3-A0F0C936B278}"/>
                </a:ext>
                <a:ext uri="{147F2762-F138-4A5C-976F-8EAC2B608ADB}">
                  <a16:predDERef xmlns:a16="http://schemas.microsoft.com/office/drawing/2014/main" pred="{B1DE3C28-8154-ACFD-07C2-E7717CD6EC14}"/>
                </a:ext>
              </a:extLst>
            </xdr:cNvPr>
            <xdr:cNvPicPr/>
          </xdr:nvPicPr>
          <xdr:blipFill>
            <a:blip xmlns:r="http://schemas.openxmlformats.org/officeDocument/2006/relationships" r:embed="rId477"/>
            <a:stretch>
              <a:fillRect/>
            </a:stretch>
          </xdr:blipFill>
          <xdr:spPr>
            <a:xfrm>
              <a:off x="10465560" y="3034800"/>
              <a:ext cx="3096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506254</xdr:colOff>
      <xdr:row>26</xdr:row>
      <xdr:rowOff>22822</xdr:rowOff>
    </xdr:from>
    <xdr:to>
      <xdr:col>15</xdr:col>
      <xdr:colOff>527494</xdr:colOff>
      <xdr:row>27</xdr:row>
      <xdr:rowOff>11526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1BEE3B8F-416A-C913-37FD-A92FB1E80397}"/>
                </a:ext>
                <a:ext uri="{147F2762-F138-4A5C-976F-8EAC2B608ADB}">
                  <a16:predDERef xmlns:a16="http://schemas.microsoft.com/office/drawing/2014/main" pred="{6D572460-6838-68F1-4DC3-A0F0C936B278}"/>
                </a:ext>
              </a:extLst>
            </xdr14:cNvPr>
            <xdr14:cNvContentPartPr/>
          </xdr14:nvContentPartPr>
          <xdr14:nvPr macro=""/>
          <xdr14:xfrm>
            <a:off x="11485609" y="5553467"/>
            <a:ext cx="21240" cy="193543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1BEE3B8F-416A-C913-37FD-A92FB1E80397}"/>
                </a:ext>
                <a:ext uri="{147F2762-F138-4A5C-976F-8EAC2B608ADB}">
                  <a16:predDERef xmlns:a16="http://schemas.microsoft.com/office/drawing/2014/main" pred="{6D572460-6838-68F1-4DC3-A0F0C936B278}"/>
                </a:ext>
              </a:extLst>
            </xdr:cNvPr>
            <xdr:cNvPicPr/>
          </xdr:nvPicPr>
          <xdr:blipFill>
            <a:blip xmlns:r="http://schemas.openxmlformats.org/officeDocument/2006/relationships" r:embed="rId479"/>
            <a:stretch>
              <a:fillRect/>
            </a:stretch>
          </xdr:blipFill>
          <xdr:spPr>
            <a:xfrm>
              <a:off x="10650240" y="2887200"/>
              <a:ext cx="4248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536134</xdr:colOff>
      <xdr:row>26</xdr:row>
      <xdr:rowOff>45862</xdr:rowOff>
    </xdr:from>
    <xdr:to>
      <xdr:col>16</xdr:col>
      <xdr:colOff>679</xdr:colOff>
      <xdr:row>27</xdr:row>
      <xdr:rowOff>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0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EFE028FE-9DFD-A7DE-8F77-AD45551C69D9}"/>
                </a:ext>
                <a:ext uri="{147F2762-F138-4A5C-976F-8EAC2B608ADB}">
                  <a16:predDERef xmlns:a16="http://schemas.microsoft.com/office/drawing/2014/main" pred="{1BEE3B8F-416A-C913-37FD-A92FB1E80397}"/>
                </a:ext>
              </a:extLst>
            </xdr14:cNvPr>
            <xdr14:cNvContentPartPr/>
          </xdr14:nvContentPartPr>
          <xdr14:nvPr macro=""/>
          <xdr14:xfrm>
            <a:off x="11515489" y="5576507"/>
            <a:ext cx="121770" cy="159778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EFE028FE-9DFD-A7DE-8F77-AD45551C69D9}"/>
                </a:ext>
                <a:ext uri="{147F2762-F138-4A5C-976F-8EAC2B608ADB}">
                  <a16:predDERef xmlns:a16="http://schemas.microsoft.com/office/drawing/2014/main" pred="{1BEE3B8F-416A-C913-37FD-A92FB1E80397}"/>
                </a:ext>
              </a:extLst>
            </xdr:cNvPr>
            <xdr:cNvPicPr/>
          </xdr:nvPicPr>
          <xdr:blipFill>
            <a:blip xmlns:r="http://schemas.openxmlformats.org/officeDocument/2006/relationships" r:embed="rId481"/>
            <a:stretch>
              <a:fillRect/>
            </a:stretch>
          </xdr:blipFill>
          <xdr:spPr>
            <a:xfrm>
              <a:off x="10680120" y="2910240"/>
              <a:ext cx="907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4999</xdr:colOff>
      <xdr:row>26</xdr:row>
      <xdr:rowOff>66742</xdr:rowOff>
    </xdr:from>
    <xdr:to>
      <xdr:col>16</xdr:col>
      <xdr:colOff>12199</xdr:colOff>
      <xdr:row>26</xdr:row>
      <xdr:rowOff>87982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2">
          <xdr14:nvContentPartPr>
            <xdr14:cNvPr id="250" name="Ink 249">
              <a:extLst>
                <a:ext uri="{FF2B5EF4-FFF2-40B4-BE49-F238E27FC236}">
                  <a16:creationId xmlns:a16="http://schemas.microsoft.com/office/drawing/2014/main" id="{840EA008-CFC9-1435-0536-F0E91760688E}"/>
                </a:ext>
                <a:ext uri="{147F2762-F138-4A5C-976F-8EAC2B608ADB}">
                  <a16:predDERef xmlns:a16="http://schemas.microsoft.com/office/drawing/2014/main" pred="{EFE028FE-9DFD-A7DE-8F77-AD45551C69D9}"/>
                </a:ext>
              </a:extLst>
            </xdr14:cNvPr>
            <xdr14:cNvContentPartPr/>
          </xdr14:nvContentPartPr>
          <xdr14:nvPr macro=""/>
          <xdr14:xfrm>
            <a:off x="11680805" y="5597387"/>
            <a:ext cx="7200" cy="21240"/>
          </xdr14:xfrm>
        </xdr:contentPart>
      </mc:Choice>
      <mc:Fallback xmlns="">
        <xdr:pic>
          <xdr:nvPicPr>
            <xdr:cNvPr id="250" name="Ink 249">
              <a:extLst>
                <a:ext uri="{FF2B5EF4-FFF2-40B4-BE49-F238E27FC236}">
                  <a16:creationId xmlns:a16="http://schemas.microsoft.com/office/drawing/2014/main" id="{840EA008-CFC9-1435-0536-F0E91760688E}"/>
                </a:ext>
                <a:ext uri="{147F2762-F138-4A5C-976F-8EAC2B608ADB}">
                  <a16:predDERef xmlns:a16="http://schemas.microsoft.com/office/drawing/2014/main" pred="{EFE028FE-9DFD-A7DE-8F77-AD45551C69D9}"/>
                </a:ext>
              </a:extLst>
            </xdr:cNvPr>
            <xdr:cNvPicPr/>
          </xdr:nvPicPr>
          <xdr:blipFill>
            <a:blip xmlns:r="http://schemas.openxmlformats.org/officeDocument/2006/relationships" r:embed="rId483"/>
            <a:stretch>
              <a:fillRect/>
            </a:stretch>
          </xdr:blipFill>
          <xdr:spPr>
            <a:xfrm>
              <a:off x="10798200" y="2931120"/>
              <a:ext cx="2844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12919</xdr:colOff>
      <xdr:row>26</xdr:row>
      <xdr:rowOff>117502</xdr:rowOff>
    </xdr:from>
    <xdr:to>
      <xdr:col>16</xdr:col>
      <xdr:colOff>33079</xdr:colOff>
      <xdr:row>26</xdr:row>
      <xdr:rowOff>131542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DDD35CB9-70F7-E03E-ADD7-E7401AB529B3}"/>
                </a:ext>
                <a:ext uri="{147F2762-F138-4A5C-976F-8EAC2B608ADB}">
                  <a16:predDERef xmlns:a16="http://schemas.microsoft.com/office/drawing/2014/main" pred="{840EA008-CFC9-1435-0536-F0E91760688E}"/>
                </a:ext>
              </a:extLst>
            </xdr14:cNvPr>
            <xdr14:cNvContentPartPr/>
          </xdr14:nvContentPartPr>
          <xdr14:nvPr macro=""/>
          <xdr14:xfrm>
            <a:off x="11688725" y="5648147"/>
            <a:ext cx="20160" cy="1404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DDD35CB9-70F7-E03E-ADD7-E7401AB529B3}"/>
                </a:ext>
                <a:ext uri="{147F2762-F138-4A5C-976F-8EAC2B608ADB}">
                  <a16:predDERef xmlns:a16="http://schemas.microsoft.com/office/drawing/2014/main" pred="{840EA008-CFC9-1435-0536-F0E91760688E}"/>
                </a:ext>
              </a:extLst>
            </xdr:cNvPr>
            <xdr:cNvPicPr/>
          </xdr:nvPicPr>
          <xdr:blipFill>
            <a:blip xmlns:r="http://schemas.openxmlformats.org/officeDocument/2006/relationships" r:embed="rId485"/>
            <a:stretch>
              <a:fillRect/>
            </a:stretch>
          </xdr:blipFill>
          <xdr:spPr>
            <a:xfrm>
              <a:off x="10806120" y="2981880"/>
              <a:ext cx="414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554428</xdr:colOff>
      <xdr:row>28</xdr:row>
      <xdr:rowOff>186712</xdr:rowOff>
    </xdr:from>
    <xdr:to>
      <xdr:col>14</xdr:col>
      <xdr:colOff>72788</xdr:colOff>
      <xdr:row>29</xdr:row>
      <xdr:rowOff>173258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811D404C-6EAE-C70F-EA2F-D7175FDD5CBC}"/>
                </a:ext>
                <a:ext uri="{147F2762-F138-4A5C-976F-8EAC2B608ADB}">
                  <a16:predDERef xmlns:a16="http://schemas.microsoft.com/office/drawing/2014/main" pred="{DDD35CB9-70F7-E03E-ADD7-E7401AB529B3}"/>
                </a:ext>
              </a:extLst>
            </xdr14:cNvPr>
            <xdr14:cNvContentPartPr/>
          </xdr14:nvContentPartPr>
          <xdr14:nvPr macro=""/>
          <xdr14:xfrm>
            <a:off x="10099912" y="6127035"/>
            <a:ext cx="214811" cy="191384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811D404C-6EAE-C70F-EA2F-D7175FDD5CBC}"/>
                </a:ext>
                <a:ext uri="{147F2762-F138-4A5C-976F-8EAC2B608ADB}">
                  <a16:predDERef xmlns:a16="http://schemas.microsoft.com/office/drawing/2014/main" pred="{DDD35CB9-70F7-E03E-ADD7-E7401AB529B3}"/>
                </a:ext>
              </a:extLst>
            </xdr:cNvPr>
            <xdr:cNvPicPr/>
          </xdr:nvPicPr>
          <xdr:blipFill>
            <a:blip xmlns:r="http://schemas.openxmlformats.org/officeDocument/2006/relationships" r:embed="rId487"/>
            <a:stretch>
              <a:fillRect/>
            </a:stretch>
          </xdr:blipFill>
          <xdr:spPr>
            <a:xfrm>
              <a:off x="9389520" y="3434400"/>
              <a:ext cx="19692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108974</xdr:colOff>
      <xdr:row>28</xdr:row>
      <xdr:rowOff>135952</xdr:rowOff>
    </xdr:from>
    <xdr:to>
      <xdr:col>14</xdr:col>
      <xdr:colOff>210854</xdr:colOff>
      <xdr:row>29</xdr:row>
      <xdr:rowOff>145178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86B3B603-5A5A-C23D-CE29-406FAB372512}"/>
                </a:ext>
                <a:ext uri="{147F2762-F138-4A5C-976F-8EAC2B608ADB}">
                  <a16:predDERef xmlns:a16="http://schemas.microsoft.com/office/drawing/2014/main" pred="{811D404C-6EAE-C70F-EA2F-D7175FDD5CBC}"/>
                </a:ext>
              </a:extLst>
            </xdr14:cNvPr>
            <xdr14:cNvContentPartPr/>
          </xdr14:nvContentPartPr>
          <xdr14:nvPr macro=""/>
          <xdr14:xfrm>
            <a:off x="10350909" y="6076275"/>
            <a:ext cx="101880" cy="214064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86B3B603-5A5A-C23D-CE29-406FAB372512}"/>
                </a:ext>
                <a:ext uri="{147F2762-F138-4A5C-976F-8EAC2B608ADB}">
                  <a16:predDERef xmlns:a16="http://schemas.microsoft.com/office/drawing/2014/main" pred="{811D404C-6EAE-C70F-EA2F-D7175FDD5CBC}"/>
                </a:ext>
              </a:extLst>
            </xdr:cNvPr>
            <xdr:cNvPicPr/>
          </xdr:nvPicPr>
          <xdr:blipFill>
            <a:blip xmlns:r="http://schemas.openxmlformats.org/officeDocument/2006/relationships" r:embed="rId489"/>
            <a:stretch>
              <a:fillRect/>
            </a:stretch>
          </xdr:blipFill>
          <xdr:spPr>
            <a:xfrm>
              <a:off x="9592560" y="3383640"/>
              <a:ext cx="12312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215174</xdr:colOff>
      <xdr:row>29</xdr:row>
      <xdr:rowOff>59858</xdr:rowOff>
    </xdr:from>
    <xdr:to>
      <xdr:col>14</xdr:col>
      <xdr:colOff>270974</xdr:colOff>
      <xdr:row>30</xdr:row>
      <xdr:rowOff>20843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02BD4C5B-2B2C-5CCD-680E-F3B406DE0CE8}"/>
                </a:ext>
                <a:ext uri="{147F2762-F138-4A5C-976F-8EAC2B608ADB}">
                  <a16:predDERef xmlns:a16="http://schemas.microsoft.com/office/drawing/2014/main" pred="{86B3B603-5A5A-C23D-CE29-406FAB372512}"/>
                </a:ext>
              </a:extLst>
            </xdr14:cNvPr>
            <xdr14:cNvContentPartPr/>
          </xdr14:nvContentPartPr>
          <xdr14:nvPr macro=""/>
          <xdr14:xfrm>
            <a:off x="10457109" y="6205019"/>
            <a:ext cx="55800" cy="165824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02BD4C5B-2B2C-5CCD-680E-F3B406DE0CE8}"/>
                </a:ext>
                <a:ext uri="{147F2762-F138-4A5C-976F-8EAC2B608ADB}">
                  <a16:predDERef xmlns:a16="http://schemas.microsoft.com/office/drawing/2014/main" pred="{86B3B603-5A5A-C23D-CE29-406FAB372512}"/>
                </a:ext>
              </a:extLst>
            </xdr:cNvPr>
            <xdr:cNvPicPr/>
          </xdr:nvPicPr>
          <xdr:blipFill>
            <a:blip xmlns:r="http://schemas.openxmlformats.org/officeDocument/2006/relationships" r:embed="rId491"/>
            <a:stretch>
              <a:fillRect/>
            </a:stretch>
          </xdr:blipFill>
          <xdr:spPr>
            <a:xfrm>
              <a:off x="9698760" y="3498840"/>
              <a:ext cx="7704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381494</xdr:colOff>
      <xdr:row>29</xdr:row>
      <xdr:rowOff>13778</xdr:rowOff>
    </xdr:from>
    <xdr:to>
      <xdr:col>14</xdr:col>
      <xdr:colOff>432614</xdr:colOff>
      <xdr:row>29</xdr:row>
      <xdr:rowOff>27818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2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8315C3C4-BB3E-9FCC-D5A4-8FCB497F2651}"/>
                </a:ext>
                <a:ext uri="{147F2762-F138-4A5C-976F-8EAC2B608ADB}">
                  <a16:predDERef xmlns:a16="http://schemas.microsoft.com/office/drawing/2014/main" pred="{02BD4C5B-2B2C-5CCD-680E-F3B406DE0CE8}"/>
                </a:ext>
              </a:extLst>
            </xdr14:cNvPr>
            <xdr14:cNvContentPartPr/>
          </xdr14:nvContentPartPr>
          <xdr14:nvPr macro=""/>
          <xdr14:xfrm>
            <a:off x="10623429" y="6158939"/>
            <a:ext cx="51120" cy="1404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8315C3C4-BB3E-9FCC-D5A4-8FCB497F2651}"/>
                </a:ext>
                <a:ext uri="{147F2762-F138-4A5C-976F-8EAC2B608ADB}">
                  <a16:predDERef xmlns:a16="http://schemas.microsoft.com/office/drawing/2014/main" pred="{02BD4C5B-2B2C-5CCD-680E-F3B406DE0CE8}"/>
                </a:ext>
              </a:extLst>
            </xdr:cNvPr>
            <xdr:cNvPicPr/>
          </xdr:nvPicPr>
          <xdr:blipFill>
            <a:blip xmlns:r="http://schemas.openxmlformats.org/officeDocument/2006/relationships" r:embed="rId493"/>
            <a:stretch>
              <a:fillRect/>
            </a:stretch>
          </xdr:blipFill>
          <xdr:spPr>
            <a:xfrm>
              <a:off x="9865080" y="3452760"/>
              <a:ext cx="7236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393014</xdr:colOff>
      <xdr:row>29</xdr:row>
      <xdr:rowOff>57698</xdr:rowOff>
    </xdr:from>
    <xdr:to>
      <xdr:col>14</xdr:col>
      <xdr:colOff>444134</xdr:colOff>
      <xdr:row>29</xdr:row>
      <xdr:rowOff>81098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4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1442F20F-9797-8E26-DA50-E0D7DD5CEEC0}"/>
                </a:ext>
                <a:ext uri="{147F2762-F138-4A5C-976F-8EAC2B608ADB}">
                  <a16:predDERef xmlns:a16="http://schemas.microsoft.com/office/drawing/2014/main" pred="{8315C3C4-BB3E-9FCC-D5A4-8FCB497F2651}"/>
                </a:ext>
              </a:extLst>
            </xdr14:cNvPr>
            <xdr14:cNvContentPartPr/>
          </xdr14:nvContentPartPr>
          <xdr14:nvPr macro=""/>
          <xdr14:xfrm>
            <a:off x="10634949" y="6202859"/>
            <a:ext cx="51120" cy="2340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1442F20F-9797-8E26-DA50-E0D7DD5CEEC0}"/>
                </a:ext>
                <a:ext uri="{147F2762-F138-4A5C-976F-8EAC2B608ADB}">
                  <a16:predDERef xmlns:a16="http://schemas.microsoft.com/office/drawing/2014/main" pred="{8315C3C4-BB3E-9FCC-D5A4-8FCB497F2651}"/>
                </a:ext>
              </a:extLst>
            </xdr:cNvPr>
            <xdr:cNvPicPr/>
          </xdr:nvPicPr>
          <xdr:blipFill>
            <a:blip xmlns:r="http://schemas.openxmlformats.org/officeDocument/2006/relationships" r:embed="rId495"/>
            <a:stretch>
              <a:fillRect/>
            </a:stretch>
          </xdr:blipFill>
          <xdr:spPr>
            <a:xfrm>
              <a:off x="9876600" y="3496680"/>
              <a:ext cx="72360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519168</xdr:colOff>
      <xdr:row>26</xdr:row>
      <xdr:rowOff>160380</xdr:rowOff>
    </xdr:from>
    <xdr:to>
      <xdr:col>19</xdr:col>
      <xdr:colOff>91598</xdr:colOff>
      <xdr:row>30</xdr:row>
      <xdr:rowOff>183179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6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5329C5A9-A0AE-54BE-5476-3E6C67E8C017}"/>
                </a:ext>
                <a:ext uri="{147F2762-F138-4A5C-976F-8EAC2B608ADB}">
                  <a16:predDERef xmlns:a16="http://schemas.microsoft.com/office/drawing/2014/main" pred="{1442F20F-9797-8E26-DA50-E0D7DD5CEEC0}"/>
                </a:ext>
              </a:extLst>
            </xdr14:cNvPr>
            <xdr14:cNvContentPartPr/>
          </xdr14:nvContentPartPr>
          <xdr14:nvPr macro=""/>
          <xdr14:xfrm>
            <a:off x="10761103" y="5691025"/>
            <a:ext cx="3095656" cy="842154"/>
          </xdr14:xfrm>
        </xdr:contentPart>
      </mc:Choice>
      <mc:Fallback xmlns=""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5329C5A9-A0AE-54BE-5476-3E6C67E8C017}"/>
                </a:ext>
                <a:ext uri="{147F2762-F138-4A5C-976F-8EAC2B608ADB}">
                  <a16:predDERef xmlns:a16="http://schemas.microsoft.com/office/drawing/2014/main" pred="{1442F20F-9797-8E26-DA50-E0D7DD5CEEC0}"/>
                </a:ext>
              </a:extLst>
            </xdr:cNvPr>
            <xdr:cNvPicPr/>
          </xdr:nvPicPr>
          <xdr:blipFill>
            <a:blip xmlns:r="http://schemas.openxmlformats.org/officeDocument/2006/relationships" r:embed="rId497"/>
            <a:stretch>
              <a:fillRect/>
            </a:stretch>
          </xdr:blipFill>
          <xdr:spPr>
            <a:xfrm>
              <a:off x="9992160" y="3007440"/>
              <a:ext cx="2890440" cy="80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197701</xdr:colOff>
      <xdr:row>28</xdr:row>
      <xdr:rowOff>48299</xdr:rowOff>
    </xdr:from>
    <xdr:to>
      <xdr:col>15</xdr:col>
      <xdr:colOff>331261</xdr:colOff>
      <xdr:row>28</xdr:row>
      <xdr:rowOff>175739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8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411160AF-069D-CAAD-6BC5-14CA6B051127}"/>
                </a:ext>
                <a:ext uri="{147F2762-F138-4A5C-976F-8EAC2B608ADB}">
                  <a16:predDERef xmlns:a16="http://schemas.microsoft.com/office/drawing/2014/main" pred="{5329C5A9-A0AE-54BE-5476-3E6C67E8C017}"/>
                </a:ext>
              </a:extLst>
            </xdr14:cNvPr>
            <xdr14:cNvContentPartPr/>
          </xdr14:nvContentPartPr>
          <xdr14:nvPr macro=""/>
          <xdr14:xfrm>
            <a:off x="11177056" y="5988622"/>
            <a:ext cx="133560" cy="1274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411160AF-069D-CAAD-6BC5-14CA6B051127}"/>
                </a:ext>
                <a:ext uri="{147F2762-F138-4A5C-976F-8EAC2B608ADB}">
                  <a16:predDERef xmlns:a16="http://schemas.microsoft.com/office/drawing/2014/main" pred="{5329C5A9-A0AE-54BE-5476-3E6C67E8C017}"/>
                </a:ext>
              </a:extLst>
            </xdr:cNvPr>
            <xdr:cNvPicPr/>
          </xdr:nvPicPr>
          <xdr:blipFill>
            <a:blip xmlns:r="http://schemas.openxmlformats.org/officeDocument/2006/relationships" r:embed="rId499"/>
            <a:stretch>
              <a:fillRect/>
            </a:stretch>
          </xdr:blipFill>
          <xdr:spPr>
            <a:xfrm>
              <a:off x="10333800" y="3276000"/>
              <a:ext cx="15480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388141</xdr:colOff>
      <xdr:row>28</xdr:row>
      <xdr:rowOff>5819</xdr:rowOff>
    </xdr:from>
    <xdr:to>
      <xdr:col>15</xdr:col>
      <xdr:colOff>491461</xdr:colOff>
      <xdr:row>28</xdr:row>
      <xdr:rowOff>177179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0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E9D9926E-43A6-4178-B3B7-F4C8820ECA60}"/>
                </a:ext>
                <a:ext uri="{147F2762-F138-4A5C-976F-8EAC2B608ADB}">
                  <a16:predDERef xmlns:a16="http://schemas.microsoft.com/office/drawing/2014/main" pred="{411160AF-069D-CAAD-6BC5-14CA6B051127}"/>
                </a:ext>
              </a:extLst>
            </xdr14:cNvPr>
            <xdr14:cNvContentPartPr/>
          </xdr14:nvContentPartPr>
          <xdr14:nvPr macro=""/>
          <xdr14:xfrm>
            <a:off x="11367496" y="5946142"/>
            <a:ext cx="103320" cy="17136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E9D9926E-43A6-4178-B3B7-F4C8820ECA60}"/>
                </a:ext>
                <a:ext uri="{147F2762-F138-4A5C-976F-8EAC2B608ADB}">
                  <a16:predDERef xmlns:a16="http://schemas.microsoft.com/office/drawing/2014/main" pred="{411160AF-069D-CAAD-6BC5-14CA6B051127}"/>
                </a:ext>
              </a:extLst>
            </xdr:cNvPr>
            <xdr:cNvPicPr/>
          </xdr:nvPicPr>
          <xdr:blipFill>
            <a:blip xmlns:r="http://schemas.openxmlformats.org/officeDocument/2006/relationships" r:embed="rId501"/>
            <a:stretch>
              <a:fillRect/>
            </a:stretch>
          </xdr:blipFill>
          <xdr:spPr>
            <a:xfrm>
              <a:off x="10524240" y="3233880"/>
              <a:ext cx="12456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506581</xdr:colOff>
      <xdr:row>28</xdr:row>
      <xdr:rowOff>84659</xdr:rowOff>
    </xdr:from>
    <xdr:to>
      <xdr:col>15</xdr:col>
      <xdr:colOff>536821</xdr:colOff>
      <xdr:row>28</xdr:row>
      <xdr:rowOff>175739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2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83334DB1-D704-E90D-E2A2-C72D0B908E55}"/>
                </a:ext>
                <a:ext uri="{147F2762-F138-4A5C-976F-8EAC2B608ADB}">
                  <a16:predDERef xmlns:a16="http://schemas.microsoft.com/office/drawing/2014/main" pred="{E9D9926E-43A6-4178-B3B7-F4C8820ECA60}"/>
                </a:ext>
              </a:extLst>
            </xdr14:cNvPr>
            <xdr14:cNvContentPartPr/>
          </xdr14:nvContentPartPr>
          <xdr14:nvPr macro=""/>
          <xdr14:xfrm>
            <a:off x="11485936" y="6024982"/>
            <a:ext cx="30240" cy="910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83334DB1-D704-E90D-E2A2-C72D0B908E55}"/>
                </a:ext>
                <a:ext uri="{147F2762-F138-4A5C-976F-8EAC2B608ADB}">
                  <a16:predDERef xmlns:a16="http://schemas.microsoft.com/office/drawing/2014/main" pred="{E9D9926E-43A6-4178-B3B7-F4C8820ECA60}"/>
                </a:ext>
              </a:extLst>
            </xdr:cNvPr>
            <xdr:cNvPicPr/>
          </xdr:nvPicPr>
          <xdr:blipFill>
            <a:blip xmlns:r="http://schemas.openxmlformats.org/officeDocument/2006/relationships" r:embed="rId503"/>
            <a:stretch>
              <a:fillRect/>
            </a:stretch>
          </xdr:blipFill>
          <xdr:spPr>
            <a:xfrm>
              <a:off x="10642320" y="3312360"/>
              <a:ext cx="5148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572821</xdr:colOff>
      <xdr:row>28</xdr:row>
      <xdr:rowOff>90419</xdr:rowOff>
    </xdr:from>
    <xdr:to>
      <xdr:col>16</xdr:col>
      <xdr:colOff>62698</xdr:colOff>
      <xdr:row>29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4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4434BF9D-7FF4-20E0-5B8F-8E31B2DEEBC4}"/>
                </a:ext>
                <a:ext uri="{147F2762-F138-4A5C-976F-8EAC2B608ADB}">
                  <a16:predDERef xmlns:a16="http://schemas.microsoft.com/office/drawing/2014/main" pred="{83334DB1-D704-E90D-E2A2-C72D0B908E55}"/>
                </a:ext>
              </a:extLst>
            </xdr14:cNvPr>
            <xdr14:cNvContentPartPr/>
          </xdr14:nvContentPartPr>
          <xdr14:nvPr macro=""/>
          <xdr14:xfrm>
            <a:off x="11552176" y="6030742"/>
            <a:ext cx="186328" cy="161219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4434BF9D-7FF4-20E0-5B8F-8E31B2DEEBC4}"/>
                </a:ext>
                <a:ext uri="{147F2762-F138-4A5C-976F-8EAC2B608ADB}">
                  <a16:predDERef xmlns:a16="http://schemas.microsoft.com/office/drawing/2014/main" pred="{83334DB1-D704-E90D-E2A2-C72D0B908E55}"/>
                </a:ext>
              </a:extLst>
            </xdr:cNvPr>
            <xdr:cNvPicPr/>
          </xdr:nvPicPr>
          <xdr:blipFill>
            <a:blip xmlns:r="http://schemas.openxmlformats.org/officeDocument/2006/relationships" r:embed="rId505"/>
            <a:stretch>
              <a:fillRect/>
            </a:stretch>
          </xdr:blipFill>
          <xdr:spPr>
            <a:xfrm>
              <a:off x="10708560" y="3318480"/>
              <a:ext cx="16668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270781</xdr:colOff>
      <xdr:row>29</xdr:row>
      <xdr:rowOff>10080</xdr:rowOff>
    </xdr:from>
    <xdr:to>
      <xdr:col>15</xdr:col>
      <xdr:colOff>614519</xdr:colOff>
      <xdr:row>29</xdr:row>
      <xdr:rowOff>36000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6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3D1895DC-1414-67F1-2482-3939CDCBDE64}"/>
                </a:ext>
                <a:ext uri="{147F2762-F138-4A5C-976F-8EAC2B608ADB}">
                  <a16:predDERef xmlns:a16="http://schemas.microsoft.com/office/drawing/2014/main" pred="{4434BF9D-7FF4-20E0-5B8F-8E31B2DEEBC4}"/>
                </a:ext>
              </a:extLst>
            </xdr14:cNvPr>
            <xdr14:cNvContentPartPr/>
          </xdr14:nvContentPartPr>
          <xdr14:nvPr macro=""/>
          <xdr14:xfrm>
            <a:off x="11250136" y="6155241"/>
            <a:ext cx="400888" cy="259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3D1895DC-1414-67F1-2482-3939CDCBDE64}"/>
                </a:ext>
                <a:ext uri="{147F2762-F138-4A5C-976F-8EAC2B608ADB}">
                  <a16:predDERef xmlns:a16="http://schemas.microsoft.com/office/drawing/2014/main" pred="{4434BF9D-7FF4-20E0-5B8F-8E31B2DEEBC4}"/>
                </a:ext>
              </a:extLst>
            </xdr:cNvPr>
            <xdr:cNvPicPr/>
          </xdr:nvPicPr>
          <xdr:blipFill>
            <a:blip xmlns:r="http://schemas.openxmlformats.org/officeDocument/2006/relationships" r:embed="rId507"/>
            <a:stretch>
              <a:fillRect/>
            </a:stretch>
          </xdr:blipFill>
          <xdr:spPr>
            <a:xfrm>
              <a:off x="10406520" y="3428640"/>
              <a:ext cx="3812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364021</xdr:colOff>
      <xdr:row>29</xdr:row>
      <xdr:rowOff>105480</xdr:rowOff>
    </xdr:from>
    <xdr:to>
      <xdr:col>15</xdr:col>
      <xdr:colOff>491461</xdr:colOff>
      <xdr:row>30</xdr:row>
      <xdr:rowOff>87419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8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5914431E-B071-B460-6EBC-E3A66659F49D}"/>
                </a:ext>
                <a:ext uri="{147F2762-F138-4A5C-976F-8EAC2B608ADB}">
                  <a16:predDERef xmlns:a16="http://schemas.microsoft.com/office/drawing/2014/main" pred="{3D1895DC-1414-67F1-2482-3939CDCBDE64}"/>
                </a:ext>
              </a:extLst>
            </xdr14:cNvPr>
            <xdr14:cNvContentPartPr/>
          </xdr14:nvContentPartPr>
          <xdr14:nvPr macro=""/>
          <xdr14:xfrm>
            <a:off x="11343376" y="6250641"/>
            <a:ext cx="127440" cy="186778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5914431E-B071-B460-6EBC-E3A66659F49D}"/>
                </a:ext>
                <a:ext uri="{147F2762-F138-4A5C-976F-8EAC2B608ADB}">
                  <a16:predDERef xmlns:a16="http://schemas.microsoft.com/office/drawing/2014/main" pred="{3D1895DC-1414-67F1-2482-3939CDCBDE64}"/>
                </a:ext>
              </a:extLst>
            </xdr:cNvPr>
            <xdr:cNvPicPr/>
          </xdr:nvPicPr>
          <xdr:blipFill>
            <a:blip xmlns:r="http://schemas.openxmlformats.org/officeDocument/2006/relationships" r:embed="rId509"/>
            <a:stretch>
              <a:fillRect/>
            </a:stretch>
          </xdr:blipFill>
          <xdr:spPr>
            <a:xfrm>
              <a:off x="10500120" y="3524040"/>
              <a:ext cx="14868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491101</xdr:colOff>
      <xdr:row>29</xdr:row>
      <xdr:rowOff>175320</xdr:rowOff>
    </xdr:from>
    <xdr:to>
      <xdr:col>15</xdr:col>
      <xdr:colOff>527821</xdr:colOff>
      <xdr:row>30</xdr:row>
      <xdr:rowOff>73019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0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826D0F3A-A912-63D7-A5BB-A3C3B67B5A8A}"/>
                </a:ext>
                <a:ext uri="{147F2762-F138-4A5C-976F-8EAC2B608ADB}">
                  <a16:predDERef xmlns:a16="http://schemas.microsoft.com/office/drawing/2014/main" pred="{5914431E-B071-B460-6EBC-E3A66659F49D}"/>
                </a:ext>
              </a:extLst>
            </xdr14:cNvPr>
            <xdr14:cNvContentPartPr/>
          </xdr14:nvContentPartPr>
          <xdr14:nvPr macro=""/>
          <xdr14:xfrm>
            <a:off x="11470456" y="6320481"/>
            <a:ext cx="36720" cy="102538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826D0F3A-A912-63D7-A5BB-A3C3B67B5A8A}"/>
                </a:ext>
                <a:ext uri="{147F2762-F138-4A5C-976F-8EAC2B608ADB}">
                  <a16:predDERef xmlns:a16="http://schemas.microsoft.com/office/drawing/2014/main" pred="{5914431E-B071-B460-6EBC-E3A66659F49D}"/>
                </a:ext>
              </a:extLst>
            </xdr:cNvPr>
            <xdr:cNvPicPr/>
          </xdr:nvPicPr>
          <xdr:blipFill>
            <a:blip xmlns:r="http://schemas.openxmlformats.org/officeDocument/2006/relationships" r:embed="rId511"/>
            <a:stretch>
              <a:fillRect/>
            </a:stretch>
          </xdr:blipFill>
          <xdr:spPr>
            <a:xfrm>
              <a:off x="10626840" y="3593520"/>
              <a:ext cx="5796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560581</xdr:colOff>
      <xdr:row>30</xdr:row>
      <xdr:rowOff>1379</xdr:rowOff>
    </xdr:from>
    <xdr:to>
      <xdr:col>16</xdr:col>
      <xdr:colOff>32458</xdr:colOff>
      <xdr:row>30</xdr:row>
      <xdr:rowOff>151139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2">
          <xdr14:nvContentPartPr>
            <xdr14:cNvPr id="265" name="Ink 264">
              <a:extLst>
                <a:ext uri="{FF2B5EF4-FFF2-40B4-BE49-F238E27FC236}">
                  <a16:creationId xmlns:a16="http://schemas.microsoft.com/office/drawing/2014/main" id="{8C862674-46D6-F960-9D34-3AF7A649A652}"/>
                </a:ext>
                <a:ext uri="{147F2762-F138-4A5C-976F-8EAC2B608ADB}">
                  <a16:predDERef xmlns:a16="http://schemas.microsoft.com/office/drawing/2014/main" pred="{826D0F3A-A912-63D7-A5BB-A3C3B67B5A8A}"/>
                </a:ext>
              </a:extLst>
            </xdr14:cNvPr>
            <xdr14:cNvContentPartPr/>
          </xdr14:nvContentPartPr>
          <xdr14:nvPr macro=""/>
          <xdr14:xfrm>
            <a:off x="11539936" y="6351379"/>
            <a:ext cx="168328" cy="149760"/>
          </xdr14:xfrm>
        </xdr:contentPart>
      </mc:Choice>
      <mc:Fallback xmlns="">
        <xdr:pic>
          <xdr:nvPicPr>
            <xdr:cNvPr id="265" name="Ink 264">
              <a:extLst>
                <a:ext uri="{FF2B5EF4-FFF2-40B4-BE49-F238E27FC236}">
                  <a16:creationId xmlns:a16="http://schemas.microsoft.com/office/drawing/2014/main" id="{8C862674-46D6-F960-9D34-3AF7A649A652}"/>
                </a:ext>
                <a:ext uri="{147F2762-F138-4A5C-976F-8EAC2B608ADB}">
                  <a16:predDERef xmlns:a16="http://schemas.microsoft.com/office/drawing/2014/main" pred="{826D0F3A-A912-63D7-A5BB-A3C3B67B5A8A}"/>
                </a:ext>
              </a:extLst>
            </xdr:cNvPr>
            <xdr:cNvPicPr/>
          </xdr:nvPicPr>
          <xdr:blipFill>
            <a:blip xmlns:r="http://schemas.openxmlformats.org/officeDocument/2006/relationships" r:embed="rId513"/>
            <a:stretch>
              <a:fillRect/>
            </a:stretch>
          </xdr:blipFill>
          <xdr:spPr>
            <a:xfrm>
              <a:off x="10696680" y="3610440"/>
              <a:ext cx="14868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212821</xdr:colOff>
      <xdr:row>29</xdr:row>
      <xdr:rowOff>14760</xdr:rowOff>
    </xdr:from>
    <xdr:to>
      <xdr:col>16</xdr:col>
      <xdr:colOff>53698</xdr:colOff>
      <xdr:row>29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836ADE20-31F8-AAA9-345C-43BAC699956E}"/>
                </a:ext>
                <a:ext uri="{147F2762-F138-4A5C-976F-8EAC2B608ADB}">
                  <a16:predDERef xmlns:a16="http://schemas.microsoft.com/office/drawing/2014/main" pred="{8C862674-46D6-F960-9D34-3AF7A649A652}"/>
                </a:ext>
              </a:extLst>
            </xdr14:cNvPr>
            <xdr14:cNvContentPartPr/>
          </xdr14:nvContentPartPr>
          <xdr14:nvPr macro=""/>
          <xdr14:xfrm>
            <a:off x="11192176" y="6159921"/>
            <a:ext cx="537328" cy="2160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836ADE20-31F8-AAA9-345C-43BAC699956E}"/>
                </a:ext>
                <a:ext uri="{147F2762-F138-4A5C-976F-8EAC2B608ADB}">
                  <a16:predDERef xmlns:a16="http://schemas.microsoft.com/office/drawing/2014/main" pred="{8C862674-46D6-F960-9D34-3AF7A649A652}"/>
                </a:ext>
              </a:extLst>
            </xdr:cNvPr>
            <xdr:cNvPicPr/>
          </xdr:nvPicPr>
          <xdr:blipFill>
            <a:blip xmlns:r="http://schemas.openxmlformats.org/officeDocument/2006/relationships" r:embed="rId515"/>
            <a:stretch>
              <a:fillRect/>
            </a:stretch>
          </xdr:blipFill>
          <xdr:spPr>
            <a:xfrm>
              <a:off x="10348920" y="3433320"/>
              <a:ext cx="51768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122461</xdr:colOff>
      <xdr:row>27</xdr:row>
      <xdr:rowOff>182639</xdr:rowOff>
    </xdr:from>
    <xdr:to>
      <xdr:col>15</xdr:col>
      <xdr:colOff>207061</xdr:colOff>
      <xdr:row>30</xdr:row>
      <xdr:rowOff>142499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6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09D04FF6-8C69-CBA9-A312-CD939B522CC0}"/>
                </a:ext>
                <a:ext uri="{147F2762-F138-4A5C-976F-8EAC2B608ADB}">
                  <a16:predDERef xmlns:a16="http://schemas.microsoft.com/office/drawing/2014/main" pred="{836ADE20-31F8-AAA9-345C-43BAC699956E}"/>
                </a:ext>
              </a:extLst>
            </xdr14:cNvPr>
            <xdr14:cNvContentPartPr/>
          </xdr14:nvContentPartPr>
          <xdr14:nvPr macro=""/>
          <xdr14:xfrm>
            <a:off x="11101816" y="5918123"/>
            <a:ext cx="84600" cy="574376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09D04FF6-8C69-CBA9-A312-CD939B522CC0}"/>
                </a:ext>
                <a:ext uri="{147F2762-F138-4A5C-976F-8EAC2B608ADB}">
                  <a16:predDERef xmlns:a16="http://schemas.microsoft.com/office/drawing/2014/main" pred="{836ADE20-31F8-AAA9-345C-43BAC699956E}"/>
                </a:ext>
              </a:extLst>
            </xdr:cNvPr>
            <xdr:cNvPicPr/>
          </xdr:nvPicPr>
          <xdr:blipFill>
            <a:blip xmlns:r="http://schemas.openxmlformats.org/officeDocument/2006/relationships" r:embed="rId517"/>
            <a:stretch>
              <a:fillRect/>
            </a:stretch>
          </xdr:blipFill>
          <xdr:spPr>
            <a:xfrm>
              <a:off x="10258200" y="3219840"/>
              <a:ext cx="105840" cy="55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88805</xdr:colOff>
      <xdr:row>28</xdr:row>
      <xdr:rowOff>14819</xdr:rowOff>
    </xdr:from>
    <xdr:to>
      <xdr:col>16</xdr:col>
      <xdr:colOff>173405</xdr:colOff>
      <xdr:row>30</xdr:row>
      <xdr:rowOff>73019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8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F97FCE67-3080-7152-D656-E7286AC74F98}"/>
                </a:ext>
                <a:ext uri="{147F2762-F138-4A5C-976F-8EAC2B608ADB}">
                  <a16:predDERef xmlns:a16="http://schemas.microsoft.com/office/drawing/2014/main" pred="{09D04FF6-8C69-CBA9-A312-CD939B522CC0}"/>
                </a:ext>
              </a:extLst>
            </xdr14:cNvPr>
            <xdr14:cNvContentPartPr/>
          </xdr14:nvContentPartPr>
          <xdr14:nvPr macro=""/>
          <xdr14:xfrm>
            <a:off x="11764611" y="5955142"/>
            <a:ext cx="84600" cy="467877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F97FCE67-3080-7152-D656-E7286AC74F98}"/>
                </a:ext>
                <a:ext uri="{147F2762-F138-4A5C-976F-8EAC2B608ADB}">
                  <a16:predDERef xmlns:a16="http://schemas.microsoft.com/office/drawing/2014/main" pred="{09D04FF6-8C69-CBA9-A312-CD939B522CC0}"/>
                </a:ext>
              </a:extLst>
            </xdr:cNvPr>
            <xdr:cNvPicPr/>
          </xdr:nvPicPr>
          <xdr:blipFill>
            <a:blip xmlns:r="http://schemas.openxmlformats.org/officeDocument/2006/relationships" r:embed="rId519"/>
            <a:stretch>
              <a:fillRect/>
            </a:stretch>
          </xdr:blipFill>
          <xdr:spPr>
            <a:xfrm>
              <a:off x="10872000" y="3242880"/>
              <a:ext cx="105840" cy="46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243245</xdr:colOff>
      <xdr:row>27</xdr:row>
      <xdr:rowOff>169319</xdr:rowOff>
    </xdr:from>
    <xdr:to>
      <xdr:col>16</xdr:col>
      <xdr:colOff>337205</xdr:colOff>
      <xdr:row>28</xdr:row>
      <xdr:rowOff>91139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0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399C5BDE-65C1-1ED8-AE67-5433825B0AEA}"/>
                </a:ext>
                <a:ext uri="{147F2762-F138-4A5C-976F-8EAC2B608ADB}">
                  <a16:predDERef xmlns:a16="http://schemas.microsoft.com/office/drawing/2014/main" pred="{F97FCE67-3080-7152-D656-E7286AC74F98}"/>
                </a:ext>
              </a:extLst>
            </xdr14:cNvPr>
            <xdr14:cNvContentPartPr/>
          </xdr14:nvContentPartPr>
          <xdr14:nvPr macro=""/>
          <xdr14:xfrm>
            <a:off x="11919051" y="5904803"/>
            <a:ext cx="93960" cy="126659"/>
          </xdr14:xfrm>
        </xdr:contentPart>
      </mc:Choice>
      <mc:Fallback xmlns=""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399C5BDE-65C1-1ED8-AE67-5433825B0AEA}"/>
                </a:ext>
                <a:ext uri="{147F2762-F138-4A5C-976F-8EAC2B608ADB}">
                  <a16:predDERef xmlns:a16="http://schemas.microsoft.com/office/drawing/2014/main" pred="{F97FCE67-3080-7152-D656-E7286AC74F98}"/>
                </a:ext>
              </a:extLst>
            </xdr:cNvPr>
            <xdr:cNvPicPr/>
          </xdr:nvPicPr>
          <xdr:blipFill>
            <a:blip xmlns:r="http://schemas.openxmlformats.org/officeDocument/2006/relationships" r:embed="rId521"/>
            <a:stretch>
              <a:fillRect/>
            </a:stretch>
          </xdr:blipFill>
          <xdr:spPr>
            <a:xfrm>
              <a:off x="11026080" y="3206520"/>
              <a:ext cx="11520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509285</xdr:colOff>
      <xdr:row>29</xdr:row>
      <xdr:rowOff>69480</xdr:rowOff>
    </xdr:from>
    <xdr:to>
      <xdr:col>17</xdr:col>
      <xdr:colOff>3540</xdr:colOff>
      <xdr:row>29</xdr:row>
      <xdr:rowOff>84960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2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D4A19D2A-FAFC-9532-08B5-AB89BCCB4E73}"/>
                </a:ext>
                <a:ext uri="{147F2762-F138-4A5C-976F-8EAC2B608ADB}">
                  <a16:predDERef xmlns:a16="http://schemas.microsoft.com/office/drawing/2014/main" pred="{399C5BDE-65C1-1ED8-AE67-5433825B0AEA}"/>
                </a:ext>
              </a:extLst>
            </xdr14:cNvPr>
            <xdr14:cNvContentPartPr/>
          </xdr14:nvContentPartPr>
          <xdr14:nvPr macro=""/>
          <xdr14:xfrm>
            <a:off x="12185091" y="6214641"/>
            <a:ext cx="151480" cy="1548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D4A19D2A-FAFC-9532-08B5-AB89BCCB4E73}"/>
                </a:ext>
                <a:ext uri="{147F2762-F138-4A5C-976F-8EAC2B608ADB}">
                  <a16:predDERef xmlns:a16="http://schemas.microsoft.com/office/drawing/2014/main" pred="{399C5BDE-65C1-1ED8-AE67-5433825B0AEA}"/>
                </a:ext>
              </a:extLst>
            </xdr:cNvPr>
            <xdr:cNvPicPr/>
          </xdr:nvPicPr>
          <xdr:blipFill>
            <a:blip xmlns:r="http://schemas.openxmlformats.org/officeDocument/2006/relationships" r:embed="rId523"/>
            <a:stretch>
              <a:fillRect/>
            </a:stretch>
          </xdr:blipFill>
          <xdr:spPr>
            <a:xfrm>
              <a:off x="11292120" y="3487680"/>
              <a:ext cx="12132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566525</xdr:colOff>
      <xdr:row>29</xdr:row>
      <xdr:rowOff>36360</xdr:rowOff>
    </xdr:from>
    <xdr:to>
      <xdr:col>16</xdr:col>
      <xdr:colOff>588125</xdr:colOff>
      <xdr:row>29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1901F2CA-9167-D22C-6797-E57D7BF542F0}"/>
                </a:ext>
                <a:ext uri="{147F2762-F138-4A5C-976F-8EAC2B608ADB}">
                  <a16:predDERef xmlns:a16="http://schemas.microsoft.com/office/drawing/2014/main" pred="{D4A19D2A-FAFC-9532-08B5-AB89BCCB4E73}"/>
                </a:ext>
              </a:extLst>
            </xdr14:cNvPr>
            <xdr14:cNvContentPartPr/>
          </xdr14:nvContentPartPr>
          <xdr14:nvPr macro=""/>
          <xdr14:xfrm>
            <a:off x="12242331" y="6181521"/>
            <a:ext cx="21600" cy="1238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1901F2CA-9167-D22C-6797-E57D7BF542F0}"/>
                </a:ext>
                <a:ext uri="{147F2762-F138-4A5C-976F-8EAC2B608ADB}">
                  <a16:predDERef xmlns:a16="http://schemas.microsoft.com/office/drawing/2014/main" pred="{D4A19D2A-FAFC-9532-08B5-AB89BCCB4E73}"/>
                </a:ext>
              </a:extLst>
            </xdr:cNvPr>
            <xdr:cNvPicPr/>
          </xdr:nvPicPr>
          <xdr:blipFill>
            <a:blip xmlns:r="http://schemas.openxmlformats.org/officeDocument/2006/relationships" r:embed="rId525"/>
            <a:stretch>
              <a:fillRect/>
            </a:stretch>
          </xdr:blipFill>
          <xdr:spPr>
            <a:xfrm>
              <a:off x="11349720" y="3454920"/>
              <a:ext cx="4284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221830</xdr:colOff>
      <xdr:row>27</xdr:row>
      <xdr:rowOff>166079</xdr:rowOff>
    </xdr:from>
    <xdr:to>
      <xdr:col>17</xdr:col>
      <xdr:colOff>343150</xdr:colOff>
      <xdr:row>28</xdr:row>
      <xdr:rowOff>154499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6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C34BE2F7-3EF1-3401-E36D-6A85D57C3888}"/>
                </a:ext>
                <a:ext uri="{147F2762-F138-4A5C-976F-8EAC2B608ADB}">
                  <a16:predDERef xmlns:a16="http://schemas.microsoft.com/office/drawing/2014/main" pred="{1901F2CA-9167-D22C-6797-E57D7BF542F0}"/>
                </a:ext>
              </a:extLst>
            </xdr14:cNvPr>
            <xdr14:cNvContentPartPr/>
          </xdr14:nvContentPartPr>
          <xdr14:nvPr macro=""/>
          <xdr14:xfrm>
            <a:off x="12594088" y="5901563"/>
            <a:ext cx="121320" cy="193259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C34BE2F7-3EF1-3401-E36D-6A85D57C3888}"/>
                </a:ext>
                <a:ext uri="{147F2762-F138-4A5C-976F-8EAC2B608ADB}">
                  <a16:predDERef xmlns:a16="http://schemas.microsoft.com/office/drawing/2014/main" pred="{1901F2CA-9167-D22C-6797-E57D7BF542F0}"/>
                </a:ext>
              </a:extLst>
            </xdr:cNvPr>
            <xdr:cNvPicPr/>
          </xdr:nvPicPr>
          <xdr:blipFill>
            <a:blip xmlns:r="http://schemas.openxmlformats.org/officeDocument/2006/relationships" r:embed="rId527"/>
            <a:stretch>
              <a:fillRect/>
            </a:stretch>
          </xdr:blipFill>
          <xdr:spPr>
            <a:xfrm>
              <a:off x="11652120" y="3203640"/>
              <a:ext cx="1425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403270</xdr:colOff>
      <xdr:row>28</xdr:row>
      <xdr:rowOff>54419</xdr:rowOff>
    </xdr:from>
    <xdr:to>
      <xdr:col>17</xdr:col>
      <xdr:colOff>421630</xdr:colOff>
      <xdr:row>28</xdr:row>
      <xdr:rowOff>60899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8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EF2541F4-1A95-9BB7-54CA-8A009BB26DC2}"/>
                </a:ext>
                <a:ext uri="{147F2762-F138-4A5C-976F-8EAC2B608ADB}">
                  <a16:predDERef xmlns:a16="http://schemas.microsoft.com/office/drawing/2014/main" pred="{C34BE2F7-3EF1-3401-E36D-6A85D57C3888}"/>
                </a:ext>
              </a:extLst>
            </xdr14:cNvPr>
            <xdr14:cNvContentPartPr/>
          </xdr14:nvContentPartPr>
          <xdr14:nvPr macro=""/>
          <xdr14:xfrm>
            <a:off x="12775528" y="5994742"/>
            <a:ext cx="18360" cy="648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EF2541F4-1A95-9BB7-54CA-8A009BB26DC2}"/>
                </a:ext>
                <a:ext uri="{147F2762-F138-4A5C-976F-8EAC2B608ADB}">
                  <a16:predDERef xmlns:a16="http://schemas.microsoft.com/office/drawing/2014/main" pred="{C34BE2F7-3EF1-3401-E36D-6A85D57C3888}"/>
                </a:ext>
              </a:extLst>
            </xdr:cNvPr>
            <xdr:cNvPicPr/>
          </xdr:nvPicPr>
          <xdr:blipFill>
            <a:blip xmlns:r="http://schemas.openxmlformats.org/officeDocument/2006/relationships" r:embed="rId529"/>
            <a:stretch>
              <a:fillRect/>
            </a:stretch>
          </xdr:blipFill>
          <xdr:spPr>
            <a:xfrm>
              <a:off x="11833560" y="3282120"/>
              <a:ext cx="396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469870</xdr:colOff>
      <xdr:row>28</xdr:row>
      <xdr:rowOff>18059</xdr:rowOff>
    </xdr:from>
    <xdr:to>
      <xdr:col>18</xdr:col>
      <xdr:colOff>3727</xdr:colOff>
      <xdr:row>28</xdr:row>
      <xdr:rowOff>151619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9697CE8C-D3F0-9A88-B415-EAC63FF41942}"/>
                </a:ext>
                <a:ext uri="{147F2762-F138-4A5C-976F-8EAC2B608ADB}">
                  <a16:predDERef xmlns:a16="http://schemas.microsoft.com/office/drawing/2014/main" pred="{EF2541F4-1A95-9BB7-54CA-8A009BB26DC2}"/>
                </a:ext>
              </a:extLst>
            </xdr14:cNvPr>
            <xdr14:cNvContentPartPr/>
          </xdr14:nvContentPartPr>
          <xdr14:nvPr macro=""/>
          <xdr14:xfrm>
            <a:off x="12842128" y="5958382"/>
            <a:ext cx="191082" cy="1335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9697CE8C-D3F0-9A88-B415-EAC63FF41942}"/>
                </a:ext>
                <a:ext uri="{147F2762-F138-4A5C-976F-8EAC2B608ADB}">
                  <a16:predDERef xmlns:a16="http://schemas.microsoft.com/office/drawing/2014/main" pred="{EF2541F4-1A95-9BB7-54CA-8A009BB26DC2}"/>
                </a:ext>
              </a:extLst>
            </xdr:cNvPr>
            <xdr:cNvPicPr/>
          </xdr:nvPicPr>
          <xdr:blipFill>
            <a:blip xmlns:r="http://schemas.openxmlformats.org/officeDocument/2006/relationships" r:embed="rId531"/>
            <a:stretch>
              <a:fillRect/>
            </a:stretch>
          </xdr:blipFill>
          <xdr:spPr>
            <a:xfrm>
              <a:off x="11900160" y="3245760"/>
              <a:ext cx="16092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667547</xdr:colOff>
      <xdr:row>27</xdr:row>
      <xdr:rowOff>144839</xdr:rowOff>
    </xdr:from>
    <xdr:to>
      <xdr:col>18</xdr:col>
      <xdr:colOff>89535</xdr:colOff>
      <xdr:row>28</xdr:row>
      <xdr:rowOff>142259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2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B79F2387-C9C9-E645-39CE-8304BB3C87E4}"/>
                </a:ext>
                <a:ext uri="{147F2762-F138-4A5C-976F-8EAC2B608ADB}">
                  <a16:predDERef xmlns:a16="http://schemas.microsoft.com/office/drawing/2014/main" pred="{9697CE8C-D3F0-9A88-B415-EAC63FF41942}"/>
                </a:ext>
              </a:extLst>
            </xdr14:cNvPr>
            <xdr14:cNvContentPartPr/>
          </xdr14:nvContentPartPr>
          <xdr14:nvPr macro=""/>
          <xdr14:xfrm>
            <a:off x="13039805" y="5880323"/>
            <a:ext cx="118440" cy="202259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B79F2387-C9C9-E645-39CE-8304BB3C87E4}"/>
                </a:ext>
                <a:ext uri="{147F2762-F138-4A5C-976F-8EAC2B608ADB}">
                  <a16:predDERef xmlns:a16="http://schemas.microsoft.com/office/drawing/2014/main" pred="{9697CE8C-D3F0-9A88-B415-EAC63FF41942}"/>
                </a:ext>
              </a:extLst>
            </xdr:cNvPr>
            <xdr:cNvPicPr/>
          </xdr:nvPicPr>
          <xdr:blipFill>
            <a:blip xmlns:r="http://schemas.openxmlformats.org/officeDocument/2006/relationships" r:embed="rId533"/>
            <a:stretch>
              <a:fillRect/>
            </a:stretch>
          </xdr:blipFill>
          <xdr:spPr>
            <a:xfrm>
              <a:off x="12048120" y="3182400"/>
              <a:ext cx="13968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101055</xdr:colOff>
      <xdr:row>28</xdr:row>
      <xdr:rowOff>63419</xdr:rowOff>
    </xdr:from>
    <xdr:to>
      <xdr:col>18</xdr:col>
      <xdr:colOff>161895</xdr:colOff>
      <xdr:row>29</xdr:row>
      <xdr:rowOff>993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2CCF1B4B-E716-1BBC-3647-D16465BF3E69}"/>
                </a:ext>
                <a:ext uri="{147F2762-F138-4A5C-976F-8EAC2B608ADB}">
                  <a16:predDERef xmlns:a16="http://schemas.microsoft.com/office/drawing/2014/main" pred="{B79F2387-C9C9-E645-39CE-8304BB3C87E4}"/>
                </a:ext>
              </a:extLst>
            </xdr14:cNvPr>
            <xdr14:cNvContentPartPr/>
          </xdr14:nvContentPartPr>
          <xdr14:nvPr macro=""/>
          <xdr14:xfrm>
            <a:off x="13169765" y="6003742"/>
            <a:ext cx="60840" cy="142412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2CCF1B4B-E716-1BBC-3647-D16465BF3E69}"/>
                </a:ext>
                <a:ext uri="{147F2762-F138-4A5C-976F-8EAC2B608ADB}">
                  <a16:predDERef xmlns:a16="http://schemas.microsoft.com/office/drawing/2014/main" pred="{B79F2387-C9C9-E645-39CE-8304BB3C87E4}"/>
                </a:ext>
              </a:extLst>
            </xdr:cNvPr>
            <xdr:cNvPicPr/>
          </xdr:nvPicPr>
          <xdr:blipFill>
            <a:blip xmlns:r="http://schemas.openxmlformats.org/officeDocument/2006/relationships" r:embed="rId535"/>
            <a:stretch>
              <a:fillRect/>
            </a:stretch>
          </xdr:blipFill>
          <xdr:spPr>
            <a:xfrm>
              <a:off x="12178080" y="3291120"/>
              <a:ext cx="820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91870</xdr:colOff>
      <xdr:row>29</xdr:row>
      <xdr:rowOff>0</xdr:rowOff>
    </xdr:from>
    <xdr:to>
      <xdr:col>18</xdr:col>
      <xdr:colOff>180429</xdr:colOff>
      <xdr:row>29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565F4B3F-EE5E-1ABF-7B78-CF32B9A52F4A}"/>
                </a:ext>
                <a:ext uri="{147F2762-F138-4A5C-976F-8EAC2B608ADB}">
                  <a16:predDERef xmlns:a16="http://schemas.microsoft.com/office/drawing/2014/main" pred="{2CCF1B4B-E716-1BBC-3647-D16465BF3E69}"/>
                </a:ext>
              </a:extLst>
            </xdr14:cNvPr>
            <xdr14:cNvContentPartPr/>
          </xdr14:nvContentPartPr>
          <xdr14:nvPr macro=""/>
          <xdr14:xfrm>
            <a:off x="12464128" y="6145161"/>
            <a:ext cx="785011" cy="3060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565F4B3F-EE5E-1ABF-7B78-CF32B9A52F4A}"/>
                </a:ext>
                <a:ext uri="{147F2762-F138-4A5C-976F-8EAC2B608ADB}">
                  <a16:predDERef xmlns:a16="http://schemas.microsoft.com/office/drawing/2014/main" pred="{2CCF1B4B-E716-1BBC-3647-D16465BF3E69}"/>
                </a:ext>
              </a:extLst>
            </xdr:cNvPr>
            <xdr:cNvPicPr/>
          </xdr:nvPicPr>
          <xdr:blipFill>
            <a:blip xmlns:r="http://schemas.openxmlformats.org/officeDocument/2006/relationships" r:embed="rId537"/>
            <a:stretch>
              <a:fillRect/>
            </a:stretch>
          </xdr:blipFill>
          <xdr:spPr>
            <a:xfrm>
              <a:off x="11522160" y="3418200"/>
              <a:ext cx="76536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124990</xdr:colOff>
      <xdr:row>29</xdr:row>
      <xdr:rowOff>96840</xdr:rowOff>
    </xdr:from>
    <xdr:to>
      <xdr:col>17</xdr:col>
      <xdr:colOff>225070</xdr:colOff>
      <xdr:row>30</xdr:row>
      <xdr:rowOff>96779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BEEAEDF8-9B02-59E9-E3C1-08CED906E865}"/>
                </a:ext>
                <a:ext uri="{147F2762-F138-4A5C-976F-8EAC2B608ADB}">
                  <a16:predDERef xmlns:a16="http://schemas.microsoft.com/office/drawing/2014/main" pred="{565F4B3F-EE5E-1ABF-7B78-CF32B9A52F4A}"/>
                </a:ext>
              </a:extLst>
            </xdr14:cNvPr>
            <xdr14:cNvContentPartPr/>
          </xdr14:nvContentPartPr>
          <xdr14:nvPr macro=""/>
          <xdr14:xfrm>
            <a:off x="12497248" y="6242001"/>
            <a:ext cx="100080" cy="204778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BEEAEDF8-9B02-59E9-E3C1-08CED906E865}"/>
                </a:ext>
                <a:ext uri="{147F2762-F138-4A5C-976F-8EAC2B608ADB}">
                  <a16:predDERef xmlns:a16="http://schemas.microsoft.com/office/drawing/2014/main" pred="{565F4B3F-EE5E-1ABF-7B78-CF32B9A52F4A}"/>
                </a:ext>
              </a:extLst>
            </xdr:cNvPr>
            <xdr:cNvPicPr/>
          </xdr:nvPicPr>
          <xdr:blipFill>
            <a:blip xmlns:r="http://schemas.openxmlformats.org/officeDocument/2006/relationships" r:embed="rId539"/>
            <a:stretch>
              <a:fillRect/>
            </a:stretch>
          </xdr:blipFill>
          <xdr:spPr>
            <a:xfrm>
              <a:off x="11555280" y="3515400"/>
              <a:ext cx="12132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212830</xdr:colOff>
      <xdr:row>30</xdr:row>
      <xdr:rowOff>33059</xdr:rowOff>
    </xdr:from>
    <xdr:to>
      <xdr:col>17</xdr:col>
      <xdr:colOff>276550</xdr:colOff>
      <xdr:row>30</xdr:row>
      <xdr:rowOff>157259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767BEC58-FB25-B071-835E-5129DFF33B68}"/>
                </a:ext>
                <a:ext uri="{147F2762-F138-4A5C-976F-8EAC2B608ADB}">
                  <a16:predDERef xmlns:a16="http://schemas.microsoft.com/office/drawing/2014/main" pred="{BEEAEDF8-9B02-59E9-E3C1-08CED906E865}"/>
                </a:ext>
              </a:extLst>
            </xdr14:cNvPr>
            <xdr14:cNvContentPartPr/>
          </xdr14:nvContentPartPr>
          <xdr14:nvPr macro=""/>
          <xdr14:xfrm>
            <a:off x="12585088" y="6383059"/>
            <a:ext cx="63720" cy="12420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767BEC58-FB25-B071-835E-5129DFF33B68}"/>
                </a:ext>
                <a:ext uri="{147F2762-F138-4A5C-976F-8EAC2B608ADB}">
                  <a16:predDERef xmlns:a16="http://schemas.microsoft.com/office/drawing/2014/main" pred="{BEEAEDF8-9B02-59E9-E3C1-08CED906E865}"/>
                </a:ext>
              </a:extLst>
            </xdr:cNvPr>
            <xdr:cNvPicPr/>
          </xdr:nvPicPr>
          <xdr:blipFill>
            <a:blip xmlns:r="http://schemas.openxmlformats.org/officeDocument/2006/relationships" r:embed="rId541"/>
            <a:stretch>
              <a:fillRect/>
            </a:stretch>
          </xdr:blipFill>
          <xdr:spPr>
            <a:xfrm>
              <a:off x="11643120" y="3642120"/>
              <a:ext cx="8496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355750</xdr:colOff>
      <xdr:row>29</xdr:row>
      <xdr:rowOff>84600</xdr:rowOff>
    </xdr:from>
    <xdr:to>
      <xdr:col>17</xdr:col>
      <xdr:colOff>449350</xdr:colOff>
      <xdr:row>30</xdr:row>
      <xdr:rowOff>122699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E02A1A56-E212-E800-3C58-232443697F98}"/>
                </a:ext>
                <a:ext uri="{147F2762-F138-4A5C-976F-8EAC2B608ADB}">
                  <a16:predDERef xmlns:a16="http://schemas.microsoft.com/office/drawing/2014/main" pred="{767BEC58-FB25-B071-835E-5129DFF33B68}"/>
                </a:ext>
              </a:extLst>
            </xdr14:cNvPr>
            <xdr14:cNvContentPartPr/>
          </xdr14:nvContentPartPr>
          <xdr14:nvPr macro=""/>
          <xdr14:xfrm>
            <a:off x="12728008" y="6229761"/>
            <a:ext cx="93600" cy="242938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E02A1A56-E212-E800-3C58-232443697F98}"/>
                </a:ext>
                <a:ext uri="{147F2762-F138-4A5C-976F-8EAC2B608ADB}">
                  <a16:predDERef xmlns:a16="http://schemas.microsoft.com/office/drawing/2014/main" pred="{767BEC58-FB25-B071-835E-5129DFF33B68}"/>
                </a:ext>
              </a:extLst>
            </xdr:cNvPr>
            <xdr:cNvPicPr/>
          </xdr:nvPicPr>
          <xdr:blipFill>
            <a:blip xmlns:r="http://schemas.openxmlformats.org/officeDocument/2006/relationships" r:embed="rId543"/>
            <a:stretch>
              <a:fillRect/>
            </a:stretch>
          </xdr:blipFill>
          <xdr:spPr>
            <a:xfrm>
              <a:off x="11785680" y="3502800"/>
              <a:ext cx="11484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457630</xdr:colOff>
      <xdr:row>29</xdr:row>
      <xdr:rowOff>126720</xdr:rowOff>
    </xdr:from>
    <xdr:to>
      <xdr:col>17</xdr:col>
      <xdr:colOff>527470</xdr:colOff>
      <xdr:row>30</xdr:row>
      <xdr:rowOff>93899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7F0EE6EF-0651-7922-29A3-2004F4B4F118}"/>
                </a:ext>
                <a:ext uri="{147F2762-F138-4A5C-976F-8EAC2B608ADB}">
                  <a16:predDERef xmlns:a16="http://schemas.microsoft.com/office/drawing/2014/main" pred="{E02A1A56-E212-E800-3C58-232443697F98}"/>
                </a:ext>
              </a:extLst>
            </xdr14:cNvPr>
            <xdr14:cNvContentPartPr/>
          </xdr14:nvContentPartPr>
          <xdr14:nvPr macro=""/>
          <xdr14:xfrm>
            <a:off x="12829888" y="6271881"/>
            <a:ext cx="69840" cy="172018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7F0EE6EF-0651-7922-29A3-2004F4B4F118}"/>
                </a:ext>
                <a:ext uri="{147F2762-F138-4A5C-976F-8EAC2B608ADB}">
                  <a16:predDERef xmlns:a16="http://schemas.microsoft.com/office/drawing/2014/main" pred="{E02A1A56-E212-E800-3C58-232443697F98}"/>
                </a:ext>
              </a:extLst>
            </xdr:cNvPr>
            <xdr:cNvPicPr/>
          </xdr:nvPicPr>
          <xdr:blipFill>
            <a:blip xmlns:r="http://schemas.openxmlformats.org/officeDocument/2006/relationships" r:embed="rId545"/>
            <a:stretch>
              <a:fillRect/>
            </a:stretch>
          </xdr:blipFill>
          <xdr:spPr>
            <a:xfrm>
              <a:off x="11887920" y="3545280"/>
              <a:ext cx="9108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584710</xdr:colOff>
      <xdr:row>29</xdr:row>
      <xdr:rowOff>181080</xdr:rowOff>
    </xdr:from>
    <xdr:to>
      <xdr:col>18</xdr:col>
      <xdr:colOff>116</xdr:colOff>
      <xdr:row>29</xdr:row>
      <xdr:rowOff>181440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2404B66E-D5EF-0933-2D02-6199DAE30A98}"/>
                </a:ext>
                <a:ext uri="{147F2762-F138-4A5C-976F-8EAC2B608ADB}">
                  <a16:predDERef xmlns:a16="http://schemas.microsoft.com/office/drawing/2014/main" pred="{7F0EE6EF-0651-7922-29A3-2004F4B4F118}"/>
                </a:ext>
              </a:extLst>
            </xdr14:cNvPr>
            <xdr14:cNvContentPartPr/>
          </xdr14:nvContentPartPr>
          <xdr14:nvPr macro=""/>
          <xdr14:xfrm>
            <a:off x="12956968" y="6326241"/>
            <a:ext cx="110731" cy="36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2404B66E-D5EF-0933-2D02-6199DAE30A98}"/>
                </a:ext>
                <a:ext uri="{147F2762-F138-4A5C-976F-8EAC2B608ADB}">
                  <a16:predDERef xmlns:a16="http://schemas.microsoft.com/office/drawing/2014/main" pred="{7F0EE6EF-0651-7922-29A3-2004F4B4F118}"/>
                </a:ext>
              </a:extLst>
            </xdr:cNvPr>
            <xdr:cNvPicPr/>
          </xdr:nvPicPr>
          <xdr:blipFill>
            <a:blip xmlns:r="http://schemas.openxmlformats.org/officeDocument/2006/relationships" r:embed="rId547"/>
            <a:stretch>
              <a:fillRect/>
            </a:stretch>
          </xdr:blipFill>
          <xdr:spPr>
            <a:xfrm>
              <a:off x="12015000" y="3599640"/>
              <a:ext cx="9108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670427</xdr:colOff>
      <xdr:row>29</xdr:row>
      <xdr:rowOff>156960</xdr:rowOff>
    </xdr:from>
    <xdr:to>
      <xdr:col>18</xdr:col>
      <xdr:colOff>10652</xdr:colOff>
      <xdr:row>30</xdr:row>
      <xdr:rowOff>29099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85EA3144-EDF8-35C0-75B9-A7094F1D37EF}"/>
                </a:ext>
                <a:ext uri="{147F2762-F138-4A5C-976F-8EAC2B608ADB}">
                  <a16:predDERef xmlns:a16="http://schemas.microsoft.com/office/drawing/2014/main" pred="{2404B66E-D5EF-0933-2D02-6199DAE30A98}"/>
                </a:ext>
              </a:extLst>
            </xdr14:cNvPr>
            <xdr14:cNvContentPartPr/>
          </xdr14:nvContentPartPr>
          <xdr14:nvPr macro=""/>
          <xdr14:xfrm>
            <a:off x="13042685" y="6302121"/>
            <a:ext cx="21600" cy="76978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85EA3144-EDF8-35C0-75B9-A7094F1D37EF}"/>
                </a:ext>
                <a:ext uri="{147F2762-F138-4A5C-976F-8EAC2B608ADB}">
                  <a16:predDERef xmlns:a16="http://schemas.microsoft.com/office/drawing/2014/main" pred="{2404B66E-D5EF-0933-2D02-6199DAE30A98}"/>
                </a:ext>
              </a:extLst>
            </xdr:cNvPr>
            <xdr:cNvPicPr/>
          </xdr:nvPicPr>
          <xdr:blipFill>
            <a:blip xmlns:r="http://schemas.openxmlformats.org/officeDocument/2006/relationships" r:embed="rId549"/>
            <a:stretch>
              <a:fillRect/>
            </a:stretch>
          </xdr:blipFill>
          <xdr:spPr>
            <a:xfrm>
              <a:off x="12051000" y="3575520"/>
              <a:ext cx="428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10335</xdr:colOff>
      <xdr:row>29</xdr:row>
      <xdr:rowOff>135720</xdr:rowOff>
    </xdr:from>
    <xdr:to>
      <xdr:col>18</xdr:col>
      <xdr:colOff>101415</xdr:colOff>
      <xdr:row>30</xdr:row>
      <xdr:rowOff>92459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0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784F2DCD-6CCB-7304-A280-33D5C8DCECC1}"/>
                </a:ext>
                <a:ext uri="{147F2762-F138-4A5C-976F-8EAC2B608ADB}">
                  <a16:predDERef xmlns:a16="http://schemas.microsoft.com/office/drawing/2014/main" pred="{85EA3144-EDF8-35C0-75B9-A7094F1D37EF}"/>
                </a:ext>
              </a:extLst>
            </xdr14:cNvPr>
            <xdr14:cNvContentPartPr/>
          </xdr14:nvContentPartPr>
          <xdr14:nvPr macro=""/>
          <xdr14:xfrm>
            <a:off x="13079045" y="6280881"/>
            <a:ext cx="91080" cy="161578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784F2DCD-6CCB-7304-A280-33D5C8DCECC1}"/>
                </a:ext>
                <a:ext uri="{147F2762-F138-4A5C-976F-8EAC2B608ADB}">
                  <a16:predDERef xmlns:a16="http://schemas.microsoft.com/office/drawing/2014/main" pred="{85EA3144-EDF8-35C0-75B9-A7094F1D37EF}"/>
                </a:ext>
              </a:extLst>
            </xdr:cNvPr>
            <xdr:cNvPicPr/>
          </xdr:nvPicPr>
          <xdr:blipFill>
            <a:blip xmlns:r="http://schemas.openxmlformats.org/officeDocument/2006/relationships" r:embed="rId551"/>
            <a:stretch>
              <a:fillRect/>
            </a:stretch>
          </xdr:blipFill>
          <xdr:spPr>
            <a:xfrm>
              <a:off x="12087360" y="3554280"/>
              <a:ext cx="11232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110055</xdr:colOff>
      <xdr:row>30</xdr:row>
      <xdr:rowOff>35939</xdr:rowOff>
    </xdr:from>
    <xdr:to>
      <xdr:col>18</xdr:col>
      <xdr:colOff>164775</xdr:colOff>
      <xdr:row>30</xdr:row>
      <xdr:rowOff>142139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2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FFDD3C6C-6A64-AA57-4DCB-59DA2B6EB95F}"/>
                </a:ext>
                <a:ext uri="{147F2762-F138-4A5C-976F-8EAC2B608ADB}">
                  <a16:predDERef xmlns:a16="http://schemas.microsoft.com/office/drawing/2014/main" pred="{784F2DCD-6CCB-7304-A280-33D5C8DCECC1}"/>
                </a:ext>
              </a:extLst>
            </xdr14:cNvPr>
            <xdr14:cNvContentPartPr/>
          </xdr14:nvContentPartPr>
          <xdr14:nvPr macro=""/>
          <xdr14:xfrm>
            <a:off x="13178765" y="6385939"/>
            <a:ext cx="54720" cy="10620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FFDD3C6C-6A64-AA57-4DCB-59DA2B6EB95F}"/>
                </a:ext>
                <a:ext uri="{147F2762-F138-4A5C-976F-8EAC2B608ADB}">
                  <a16:predDERef xmlns:a16="http://schemas.microsoft.com/office/drawing/2014/main" pred="{784F2DCD-6CCB-7304-A280-33D5C8DCECC1}"/>
                </a:ext>
              </a:extLst>
            </xdr:cNvPr>
            <xdr:cNvPicPr/>
          </xdr:nvPicPr>
          <xdr:blipFill>
            <a:blip xmlns:r="http://schemas.openxmlformats.org/officeDocument/2006/relationships" r:embed="rId553"/>
            <a:stretch>
              <a:fillRect/>
            </a:stretch>
          </xdr:blipFill>
          <xdr:spPr>
            <a:xfrm>
              <a:off x="12187080" y="3645000"/>
              <a:ext cx="7596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170535</xdr:colOff>
      <xdr:row>29</xdr:row>
      <xdr:rowOff>120600</xdr:rowOff>
    </xdr:from>
    <xdr:to>
      <xdr:col>18</xdr:col>
      <xdr:colOff>231375</xdr:colOff>
      <xdr:row>30</xdr:row>
      <xdr:rowOff>101459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4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014B0A9E-EFAC-D198-CDE3-0349B95CC397}"/>
                </a:ext>
                <a:ext uri="{147F2762-F138-4A5C-976F-8EAC2B608ADB}">
                  <a16:predDERef xmlns:a16="http://schemas.microsoft.com/office/drawing/2014/main" pred="{FFDD3C6C-6A64-AA57-4DCB-59DA2B6EB95F}"/>
                </a:ext>
              </a:extLst>
            </xdr14:cNvPr>
            <xdr14:cNvContentPartPr/>
          </xdr14:nvContentPartPr>
          <xdr14:nvPr macro=""/>
          <xdr14:xfrm>
            <a:off x="13239245" y="6265761"/>
            <a:ext cx="60840" cy="185698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014B0A9E-EFAC-D198-CDE3-0349B95CC397}"/>
                </a:ext>
                <a:ext uri="{147F2762-F138-4A5C-976F-8EAC2B608ADB}">
                  <a16:predDERef xmlns:a16="http://schemas.microsoft.com/office/drawing/2014/main" pred="{FFDD3C6C-6A64-AA57-4DCB-59DA2B6EB95F}"/>
                </a:ext>
              </a:extLst>
            </xdr:cNvPr>
            <xdr:cNvPicPr/>
          </xdr:nvPicPr>
          <xdr:blipFill>
            <a:blip xmlns:r="http://schemas.openxmlformats.org/officeDocument/2006/relationships" r:embed="rId555"/>
            <a:stretch>
              <a:fillRect/>
            </a:stretch>
          </xdr:blipFill>
          <xdr:spPr>
            <a:xfrm>
              <a:off x="12247560" y="3539160"/>
              <a:ext cx="8208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691842</xdr:colOff>
      <xdr:row>27</xdr:row>
      <xdr:rowOff>117839</xdr:rowOff>
    </xdr:from>
    <xdr:to>
      <xdr:col>17</xdr:col>
      <xdr:colOff>161710</xdr:colOff>
      <xdr:row>31</xdr:row>
      <xdr:rowOff>72959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6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8633A7DD-EF49-EB23-A7D0-3083C7C3C22A}"/>
                </a:ext>
                <a:ext uri="{147F2762-F138-4A5C-976F-8EAC2B608ADB}">
                  <a16:predDERef xmlns:a16="http://schemas.microsoft.com/office/drawing/2014/main" pred="{014B0A9E-EFAC-D198-CDE3-0349B95CC397}"/>
                </a:ext>
              </a:extLst>
            </xdr14:cNvPr>
            <xdr14:cNvContentPartPr/>
          </xdr14:nvContentPartPr>
          <xdr14:nvPr macro=""/>
          <xdr14:xfrm>
            <a:off x="12367648" y="5853323"/>
            <a:ext cx="166320" cy="774475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8633A7DD-EF49-EB23-A7D0-3083C7C3C22A}"/>
                </a:ext>
                <a:ext uri="{147F2762-F138-4A5C-976F-8EAC2B608ADB}">
                  <a16:predDERef xmlns:a16="http://schemas.microsoft.com/office/drawing/2014/main" pred="{014B0A9E-EFAC-D198-CDE3-0349B95CC397}"/>
                </a:ext>
              </a:extLst>
            </xdr:cNvPr>
            <xdr:cNvPicPr/>
          </xdr:nvPicPr>
          <xdr:blipFill>
            <a:blip xmlns:r="http://schemas.openxmlformats.org/officeDocument/2006/relationships" r:embed="rId557"/>
            <a:stretch>
              <a:fillRect/>
            </a:stretch>
          </xdr:blipFill>
          <xdr:spPr>
            <a:xfrm>
              <a:off x="11425680" y="3155040"/>
              <a:ext cx="187560" cy="73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261255</xdr:colOff>
      <xdr:row>27</xdr:row>
      <xdr:rowOff>181199</xdr:rowOff>
    </xdr:from>
    <xdr:to>
      <xdr:col>18</xdr:col>
      <xdr:colOff>330735</xdr:colOff>
      <xdr:row>30</xdr:row>
      <xdr:rowOff>111899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8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DCC63798-498F-DDBF-9382-D30F8977420F}"/>
                </a:ext>
                <a:ext uri="{147F2762-F138-4A5C-976F-8EAC2B608ADB}">
                  <a16:predDERef xmlns:a16="http://schemas.microsoft.com/office/drawing/2014/main" pred="{8633A7DD-EF49-EB23-A7D0-3083C7C3C22A}"/>
                </a:ext>
              </a:extLst>
            </xdr14:cNvPr>
            <xdr14:cNvContentPartPr/>
          </xdr14:nvContentPartPr>
          <xdr14:nvPr macro=""/>
          <xdr14:xfrm>
            <a:off x="13329965" y="5916683"/>
            <a:ext cx="69480" cy="545216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DCC63798-498F-DDBF-9382-D30F8977420F}"/>
                </a:ext>
                <a:ext uri="{147F2762-F138-4A5C-976F-8EAC2B608ADB}">
                  <a16:predDERef xmlns:a16="http://schemas.microsoft.com/office/drawing/2014/main" pred="{8633A7DD-EF49-EB23-A7D0-3083C7C3C22A}"/>
                </a:ext>
              </a:extLst>
            </xdr:cNvPr>
            <xdr:cNvPicPr/>
          </xdr:nvPicPr>
          <xdr:blipFill>
            <a:blip xmlns:r="http://schemas.openxmlformats.org/officeDocument/2006/relationships" r:embed="rId559"/>
            <a:stretch>
              <a:fillRect/>
            </a:stretch>
          </xdr:blipFill>
          <xdr:spPr>
            <a:xfrm>
              <a:off x="12338280" y="3218760"/>
              <a:ext cx="90720" cy="52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388335</xdr:colOff>
      <xdr:row>27</xdr:row>
      <xdr:rowOff>121079</xdr:rowOff>
    </xdr:from>
    <xdr:to>
      <xdr:col>18</xdr:col>
      <xdr:colOff>539895</xdr:colOff>
      <xdr:row>28</xdr:row>
      <xdr:rowOff>33539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B135BBCD-890F-5B7D-A310-443C0CD1B095}"/>
                </a:ext>
                <a:ext uri="{147F2762-F138-4A5C-976F-8EAC2B608ADB}">
                  <a16:predDERef xmlns:a16="http://schemas.microsoft.com/office/drawing/2014/main" pred="{DCC63798-498F-DDBF-9382-D30F8977420F}"/>
                </a:ext>
              </a:extLst>
            </xdr14:cNvPr>
            <xdr14:cNvContentPartPr/>
          </xdr14:nvContentPartPr>
          <xdr14:nvPr macro=""/>
          <xdr14:xfrm>
            <a:off x="13457045" y="5856563"/>
            <a:ext cx="151560" cy="117299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B135BBCD-890F-5B7D-A310-443C0CD1B095}"/>
                </a:ext>
                <a:ext uri="{147F2762-F138-4A5C-976F-8EAC2B608ADB}">
                  <a16:predDERef xmlns:a16="http://schemas.microsoft.com/office/drawing/2014/main" pred="{DCC63798-498F-DDBF-9382-D30F8977420F}"/>
                </a:ext>
              </a:extLst>
            </xdr:cNvPr>
            <xdr:cNvPicPr/>
          </xdr:nvPicPr>
          <xdr:blipFill>
            <a:blip xmlns:r="http://schemas.openxmlformats.org/officeDocument/2006/relationships" r:embed="rId561"/>
            <a:stretch>
              <a:fillRect/>
            </a:stretch>
          </xdr:blipFill>
          <xdr:spPr>
            <a:xfrm>
              <a:off x="12465360" y="3158640"/>
              <a:ext cx="17280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598575</xdr:colOff>
      <xdr:row>29</xdr:row>
      <xdr:rowOff>42120</xdr:rowOff>
    </xdr:from>
    <xdr:to>
      <xdr:col>19</xdr:col>
      <xdr:colOff>74773</xdr:colOff>
      <xdr:row>29</xdr:row>
      <xdr:rowOff>54720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4DA43A8F-3A35-D0B9-F9DA-F254A3DAEA22}"/>
                </a:ext>
                <a:ext uri="{147F2762-F138-4A5C-976F-8EAC2B608ADB}">
                  <a16:predDERef xmlns:a16="http://schemas.microsoft.com/office/drawing/2014/main" pred="{B135BBCD-890F-5B7D-A310-443C0CD1B095}"/>
                </a:ext>
              </a:extLst>
            </xdr14:cNvPr>
            <xdr14:cNvContentPartPr/>
          </xdr14:nvContentPartPr>
          <xdr14:nvPr macro=""/>
          <xdr14:xfrm>
            <a:off x="13667285" y="6187281"/>
            <a:ext cx="172649" cy="1260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4DA43A8F-3A35-D0B9-F9DA-F254A3DAEA22}"/>
                </a:ext>
                <a:ext uri="{147F2762-F138-4A5C-976F-8EAC2B608ADB}">
                  <a16:predDERef xmlns:a16="http://schemas.microsoft.com/office/drawing/2014/main" pred="{B135BBCD-890F-5B7D-A310-443C0CD1B095}"/>
                </a:ext>
              </a:extLst>
            </xdr:cNvPr>
            <xdr:cNvPicPr/>
          </xdr:nvPicPr>
          <xdr:blipFill>
            <a:blip xmlns:r="http://schemas.openxmlformats.org/officeDocument/2006/relationships" r:embed="rId563"/>
            <a:stretch>
              <a:fillRect/>
            </a:stretch>
          </xdr:blipFill>
          <xdr:spPr>
            <a:xfrm>
              <a:off x="12675600" y="3460680"/>
              <a:ext cx="15300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13400</xdr:colOff>
      <xdr:row>29</xdr:row>
      <xdr:rowOff>5760</xdr:rowOff>
    </xdr:from>
    <xdr:to>
      <xdr:col>19</xdr:col>
      <xdr:colOff>41120</xdr:colOff>
      <xdr:row>29</xdr:row>
      <xdr:rowOff>142200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4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B812CD9A-58C9-8BF2-D599-68FB3FEF3188}"/>
                </a:ext>
                <a:ext uri="{147F2762-F138-4A5C-976F-8EAC2B608ADB}">
                  <a16:predDERef xmlns:a16="http://schemas.microsoft.com/office/drawing/2014/main" pred="{4DA43A8F-3A35-D0B9-F9DA-F254A3DAEA22}"/>
                </a:ext>
              </a:extLst>
            </xdr14:cNvPr>
            <xdr14:cNvContentPartPr/>
          </xdr14:nvContentPartPr>
          <xdr14:nvPr macro=""/>
          <xdr14:xfrm>
            <a:off x="13778561" y="6150921"/>
            <a:ext cx="27720" cy="13644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B812CD9A-58C9-8BF2-D599-68FB3FEF3188}"/>
                </a:ext>
                <a:ext uri="{147F2762-F138-4A5C-976F-8EAC2B608ADB}">
                  <a16:predDERef xmlns:a16="http://schemas.microsoft.com/office/drawing/2014/main" pred="{4DA43A8F-3A35-D0B9-F9DA-F254A3DAEA22}"/>
                </a:ext>
              </a:extLst>
            </xdr:cNvPr>
            <xdr:cNvPicPr/>
          </xdr:nvPicPr>
          <xdr:blipFill>
            <a:blip xmlns:r="http://schemas.openxmlformats.org/officeDocument/2006/relationships" r:embed="rId565"/>
            <a:stretch>
              <a:fillRect/>
            </a:stretch>
          </xdr:blipFill>
          <xdr:spPr>
            <a:xfrm>
              <a:off x="12737520" y="3424320"/>
              <a:ext cx="489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385280</xdr:colOff>
      <xdr:row>28</xdr:row>
      <xdr:rowOff>81419</xdr:rowOff>
    </xdr:from>
    <xdr:to>
      <xdr:col>19</xdr:col>
      <xdr:colOff>539720</xdr:colOff>
      <xdr:row>28</xdr:row>
      <xdr:rowOff>175379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9F72D42E-2C8D-C7D6-FD4E-5D6620EEDB12}"/>
                </a:ext>
                <a:ext uri="{147F2762-F138-4A5C-976F-8EAC2B608ADB}">
                  <a16:predDERef xmlns:a16="http://schemas.microsoft.com/office/drawing/2014/main" pred="{B812CD9A-58C9-8BF2-D599-68FB3FEF3188}"/>
                </a:ext>
              </a:extLst>
            </xdr14:cNvPr>
            <xdr14:cNvContentPartPr/>
          </xdr14:nvContentPartPr>
          <xdr14:nvPr macro=""/>
          <xdr14:xfrm>
            <a:off x="14150441" y="6021742"/>
            <a:ext cx="154440" cy="939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9F72D42E-2C8D-C7D6-FD4E-5D6620EEDB12}"/>
                </a:ext>
                <a:ext uri="{147F2762-F138-4A5C-976F-8EAC2B608ADB}">
                  <a16:predDERef xmlns:a16="http://schemas.microsoft.com/office/drawing/2014/main" pred="{B812CD9A-58C9-8BF2-D599-68FB3FEF3188}"/>
                </a:ext>
              </a:extLst>
            </xdr:cNvPr>
            <xdr:cNvPicPr/>
          </xdr:nvPicPr>
          <xdr:blipFill>
            <a:blip xmlns:r="http://schemas.openxmlformats.org/officeDocument/2006/relationships" r:embed="rId567"/>
            <a:stretch>
              <a:fillRect/>
            </a:stretch>
          </xdr:blipFill>
          <xdr:spPr>
            <a:xfrm>
              <a:off x="13109400" y="3309480"/>
              <a:ext cx="17568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667556</xdr:colOff>
      <xdr:row>27</xdr:row>
      <xdr:rowOff>178319</xdr:rowOff>
    </xdr:from>
    <xdr:to>
      <xdr:col>20</xdr:col>
      <xdr:colOff>119784</xdr:colOff>
      <xdr:row>28</xdr:row>
      <xdr:rowOff>176099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B065D894-B44B-E6AE-0346-9E9763386BBF}"/>
                </a:ext>
                <a:ext uri="{147F2762-F138-4A5C-976F-8EAC2B608ADB}">
                  <a16:predDERef xmlns:a16="http://schemas.microsoft.com/office/drawing/2014/main" pred="{9F72D42E-2C8D-C7D6-FD4E-5D6620EEDB12}"/>
                </a:ext>
              </a:extLst>
            </xdr14:cNvPr>
            <xdr14:cNvContentPartPr/>
          </xdr14:nvContentPartPr>
          <xdr14:nvPr macro=""/>
          <xdr14:xfrm>
            <a:off x="14432717" y="5913803"/>
            <a:ext cx="148680" cy="202619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B065D894-B44B-E6AE-0346-9E9763386BBF}"/>
                </a:ext>
                <a:ext uri="{147F2762-F138-4A5C-976F-8EAC2B608ADB}">
                  <a16:predDERef xmlns:a16="http://schemas.microsoft.com/office/drawing/2014/main" pred="{9F72D42E-2C8D-C7D6-FD4E-5D6620EEDB12}"/>
                </a:ext>
              </a:extLst>
            </xdr:cNvPr>
            <xdr:cNvPicPr/>
          </xdr:nvPicPr>
          <xdr:blipFill>
            <a:blip xmlns:r="http://schemas.openxmlformats.org/officeDocument/2006/relationships" r:embed="rId569"/>
            <a:stretch>
              <a:fillRect/>
            </a:stretch>
          </xdr:blipFill>
          <xdr:spPr>
            <a:xfrm>
              <a:off x="13342320" y="3215520"/>
              <a:ext cx="16992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222200</xdr:colOff>
      <xdr:row>29</xdr:row>
      <xdr:rowOff>36000</xdr:rowOff>
    </xdr:from>
    <xdr:to>
      <xdr:col>20</xdr:col>
      <xdr:colOff>253157</xdr:colOff>
      <xdr:row>29</xdr:row>
      <xdr:rowOff>51480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F121A8FA-9C84-4CF6-6797-331B1E21975A}"/>
                </a:ext>
                <a:ext uri="{147F2762-F138-4A5C-976F-8EAC2B608ADB}">
                  <a16:predDERef xmlns:a16="http://schemas.microsoft.com/office/drawing/2014/main" pred="{B065D894-B44B-E6AE-0346-9E9763386BBF}"/>
                </a:ext>
              </a:extLst>
            </xdr14:cNvPr>
            <xdr14:cNvContentPartPr/>
          </xdr14:nvContentPartPr>
          <xdr14:nvPr macro=""/>
          <xdr14:xfrm>
            <a:off x="13987361" y="6181161"/>
            <a:ext cx="727409" cy="1548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F121A8FA-9C84-4CF6-6797-331B1E21975A}"/>
                </a:ext>
                <a:ext uri="{147F2762-F138-4A5C-976F-8EAC2B608ADB}">
                  <a16:predDERef xmlns:a16="http://schemas.microsoft.com/office/drawing/2014/main" pred="{B065D894-B44B-E6AE-0346-9E9763386BBF}"/>
                </a:ext>
              </a:extLst>
            </xdr:cNvPr>
            <xdr:cNvPicPr/>
          </xdr:nvPicPr>
          <xdr:blipFill>
            <a:blip xmlns:r="http://schemas.openxmlformats.org/officeDocument/2006/relationships" r:embed="rId571"/>
            <a:stretch>
              <a:fillRect/>
            </a:stretch>
          </xdr:blipFill>
          <xdr:spPr>
            <a:xfrm>
              <a:off x="12946680" y="3454560"/>
              <a:ext cx="70776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303560</xdr:colOff>
      <xdr:row>29</xdr:row>
      <xdr:rowOff>117720</xdr:rowOff>
    </xdr:from>
    <xdr:to>
      <xdr:col>19</xdr:col>
      <xdr:colOff>431000</xdr:colOff>
      <xdr:row>30</xdr:row>
      <xdr:rowOff>116579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2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E1C9D5D9-E984-0D64-0595-8286C01D2ED8}"/>
                </a:ext>
                <a:ext uri="{147F2762-F138-4A5C-976F-8EAC2B608ADB}">
                  <a16:predDERef xmlns:a16="http://schemas.microsoft.com/office/drawing/2014/main" pred="{F121A8FA-9C84-4CF6-6797-331B1E21975A}"/>
                </a:ext>
              </a:extLst>
            </xdr14:cNvPr>
            <xdr14:cNvContentPartPr/>
          </xdr14:nvContentPartPr>
          <xdr14:nvPr macro=""/>
          <xdr14:xfrm>
            <a:off x="14068721" y="6262881"/>
            <a:ext cx="127440" cy="203698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E1C9D5D9-E984-0D64-0595-8286C01D2ED8}"/>
                </a:ext>
                <a:ext uri="{147F2762-F138-4A5C-976F-8EAC2B608ADB}">
                  <a16:predDERef xmlns:a16="http://schemas.microsoft.com/office/drawing/2014/main" pred="{F121A8FA-9C84-4CF6-6797-331B1E21975A}"/>
                </a:ext>
              </a:extLst>
            </xdr:cNvPr>
            <xdr:cNvPicPr/>
          </xdr:nvPicPr>
          <xdr:blipFill>
            <a:blip xmlns:r="http://schemas.openxmlformats.org/officeDocument/2006/relationships" r:embed="rId573"/>
            <a:stretch>
              <a:fillRect/>
            </a:stretch>
          </xdr:blipFill>
          <xdr:spPr>
            <a:xfrm>
              <a:off x="13028040" y="3536280"/>
              <a:ext cx="14868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512360</xdr:colOff>
      <xdr:row>29</xdr:row>
      <xdr:rowOff>181080</xdr:rowOff>
    </xdr:from>
    <xdr:to>
      <xdr:col>19</xdr:col>
      <xdr:colOff>615854</xdr:colOff>
      <xdr:row>30</xdr:row>
      <xdr:rowOff>4172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4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4B2F2B59-4232-CDF5-846E-63730C6E6F8D}"/>
                </a:ext>
                <a:ext uri="{147F2762-F138-4A5C-976F-8EAC2B608ADB}">
                  <a16:predDERef xmlns:a16="http://schemas.microsoft.com/office/drawing/2014/main" pred="{E1C9D5D9-E984-0D64-0595-8286C01D2ED8}"/>
                </a:ext>
              </a:extLst>
            </xdr14:cNvPr>
            <xdr14:cNvContentPartPr/>
          </xdr14:nvContentPartPr>
          <xdr14:nvPr macro=""/>
          <xdr14:xfrm>
            <a:off x="14277521" y="6326241"/>
            <a:ext cx="151119" cy="27931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4B2F2B59-4232-CDF5-846E-63730C6E6F8D}"/>
                </a:ext>
                <a:ext uri="{147F2762-F138-4A5C-976F-8EAC2B608ADB}">
                  <a16:predDERef xmlns:a16="http://schemas.microsoft.com/office/drawing/2014/main" pred="{E1C9D5D9-E984-0D64-0595-8286C01D2ED8}"/>
                </a:ext>
              </a:extLst>
            </xdr:cNvPr>
            <xdr:cNvPicPr/>
          </xdr:nvPicPr>
          <xdr:blipFill>
            <a:blip xmlns:r="http://schemas.openxmlformats.org/officeDocument/2006/relationships" r:embed="rId575"/>
            <a:stretch>
              <a:fillRect/>
            </a:stretch>
          </xdr:blipFill>
          <xdr:spPr>
            <a:xfrm>
              <a:off x="13236480" y="3599640"/>
              <a:ext cx="12096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572840</xdr:colOff>
      <xdr:row>29</xdr:row>
      <xdr:rowOff>156960</xdr:rowOff>
    </xdr:from>
    <xdr:to>
      <xdr:col>19</xdr:col>
      <xdr:colOff>594440</xdr:colOff>
      <xdr:row>30</xdr:row>
      <xdr:rowOff>38459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6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18421472-EBD7-F7F2-4352-2908AF359F09}"/>
                </a:ext>
                <a:ext uri="{147F2762-F138-4A5C-976F-8EAC2B608ADB}">
                  <a16:predDERef xmlns:a16="http://schemas.microsoft.com/office/drawing/2014/main" pred="{4B2F2B59-4232-CDF5-846E-63730C6E6F8D}"/>
                </a:ext>
              </a:extLst>
            </xdr14:cNvPr>
            <xdr14:cNvContentPartPr/>
          </xdr14:nvContentPartPr>
          <xdr14:nvPr macro=""/>
          <xdr14:xfrm>
            <a:off x="14338001" y="6302121"/>
            <a:ext cx="21600" cy="86338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18421472-EBD7-F7F2-4352-2908AF359F09}"/>
                </a:ext>
                <a:ext uri="{147F2762-F138-4A5C-976F-8EAC2B608ADB}">
                  <a16:predDERef xmlns:a16="http://schemas.microsoft.com/office/drawing/2014/main" pred="{4B2F2B59-4232-CDF5-846E-63730C6E6F8D}"/>
                </a:ext>
              </a:extLst>
            </xdr:cNvPr>
            <xdr:cNvPicPr/>
          </xdr:nvPicPr>
          <xdr:blipFill>
            <a:blip xmlns:r="http://schemas.openxmlformats.org/officeDocument/2006/relationships" r:embed="rId577"/>
            <a:stretch>
              <a:fillRect/>
            </a:stretch>
          </xdr:blipFill>
          <xdr:spPr>
            <a:xfrm>
              <a:off x="13296960" y="3575520"/>
              <a:ext cx="42840" cy="9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679436</xdr:colOff>
      <xdr:row>29</xdr:row>
      <xdr:rowOff>139320</xdr:rowOff>
    </xdr:from>
    <xdr:to>
      <xdr:col>20</xdr:col>
      <xdr:colOff>89184</xdr:colOff>
      <xdr:row>30</xdr:row>
      <xdr:rowOff>92819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F215CAC3-CBC0-102A-A4A5-041AD7B6B5C9}"/>
                </a:ext>
                <a:ext uri="{147F2762-F138-4A5C-976F-8EAC2B608ADB}">
                  <a16:predDERef xmlns:a16="http://schemas.microsoft.com/office/drawing/2014/main" pred="{18421472-EBD7-F7F2-4352-2908AF359F09}"/>
                </a:ext>
              </a:extLst>
            </xdr14:cNvPr>
            <xdr14:cNvContentPartPr/>
          </xdr14:nvContentPartPr>
          <xdr14:nvPr macro=""/>
          <xdr14:xfrm>
            <a:off x="14444597" y="6284481"/>
            <a:ext cx="106200" cy="158338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F215CAC3-CBC0-102A-A4A5-041AD7B6B5C9}"/>
                </a:ext>
                <a:ext uri="{147F2762-F138-4A5C-976F-8EAC2B608ADB}">
                  <a16:predDERef xmlns:a16="http://schemas.microsoft.com/office/drawing/2014/main" pred="{18421472-EBD7-F7F2-4352-2908AF359F09}"/>
                </a:ext>
              </a:extLst>
            </xdr:cNvPr>
            <xdr:cNvPicPr/>
          </xdr:nvPicPr>
          <xdr:blipFill>
            <a:blip xmlns:r="http://schemas.openxmlformats.org/officeDocument/2006/relationships" r:embed="rId579"/>
            <a:stretch>
              <a:fillRect/>
            </a:stretch>
          </xdr:blipFill>
          <xdr:spPr>
            <a:xfrm>
              <a:off x="13354560" y="3557520"/>
              <a:ext cx="1274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92064</xdr:colOff>
      <xdr:row>30</xdr:row>
      <xdr:rowOff>33419</xdr:rowOff>
    </xdr:from>
    <xdr:to>
      <xdr:col>20</xdr:col>
      <xdr:colOff>168024</xdr:colOff>
      <xdr:row>30</xdr:row>
      <xdr:rowOff>148259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7237A3F5-EC93-174D-5049-B904EDFF67AA}"/>
                </a:ext>
                <a:ext uri="{147F2762-F138-4A5C-976F-8EAC2B608ADB}">
                  <a16:predDERef xmlns:a16="http://schemas.microsoft.com/office/drawing/2014/main" pred="{F215CAC3-CBC0-102A-A4A5-041AD7B6B5C9}"/>
                </a:ext>
              </a:extLst>
            </xdr14:cNvPr>
            <xdr14:cNvContentPartPr/>
          </xdr14:nvContentPartPr>
          <xdr14:nvPr macro=""/>
          <xdr14:xfrm>
            <a:off x="14553677" y="6383419"/>
            <a:ext cx="75960" cy="11484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7237A3F5-EC93-174D-5049-B904EDFF67AA}"/>
                </a:ext>
                <a:ext uri="{147F2762-F138-4A5C-976F-8EAC2B608ADB}">
                  <a16:predDERef xmlns:a16="http://schemas.microsoft.com/office/drawing/2014/main" pred="{F215CAC3-CBC0-102A-A4A5-041AD7B6B5C9}"/>
                </a:ext>
              </a:extLst>
            </xdr:cNvPr>
            <xdr:cNvPicPr/>
          </xdr:nvPicPr>
          <xdr:blipFill>
            <a:blip xmlns:r="http://schemas.openxmlformats.org/officeDocument/2006/relationships" r:embed="rId581"/>
            <a:stretch>
              <a:fillRect/>
            </a:stretch>
          </xdr:blipFill>
          <xdr:spPr>
            <a:xfrm>
              <a:off x="13463280" y="3642120"/>
              <a:ext cx="972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225440</xdr:colOff>
      <xdr:row>27</xdr:row>
      <xdr:rowOff>126839</xdr:rowOff>
    </xdr:from>
    <xdr:to>
      <xdr:col>19</xdr:col>
      <xdr:colOff>355400</xdr:colOff>
      <xdr:row>30</xdr:row>
      <xdr:rowOff>112259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2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A18E23BC-EA01-E9A7-E59C-5057DCCD1043}"/>
                </a:ext>
                <a:ext uri="{147F2762-F138-4A5C-976F-8EAC2B608ADB}">
                  <a16:predDERef xmlns:a16="http://schemas.microsoft.com/office/drawing/2014/main" pred="{7237A3F5-EC93-174D-5049-B904EDFF67AA}"/>
                </a:ext>
              </a:extLst>
            </xdr14:cNvPr>
            <xdr14:cNvContentPartPr/>
          </xdr14:nvContentPartPr>
          <xdr14:nvPr macro=""/>
          <xdr14:xfrm>
            <a:off x="13990601" y="5862323"/>
            <a:ext cx="129960" cy="599936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A18E23BC-EA01-E9A7-E59C-5057DCCD1043}"/>
                </a:ext>
                <a:ext uri="{147F2762-F138-4A5C-976F-8EAC2B608ADB}">
                  <a16:predDERef xmlns:a16="http://schemas.microsoft.com/office/drawing/2014/main" pred="{7237A3F5-EC93-174D-5049-B904EDFF67AA}"/>
                </a:ext>
              </a:extLst>
            </xdr:cNvPr>
            <xdr:cNvPicPr/>
          </xdr:nvPicPr>
          <xdr:blipFill>
            <a:blip xmlns:r="http://schemas.openxmlformats.org/officeDocument/2006/relationships" r:embed="rId583"/>
            <a:stretch>
              <a:fillRect/>
            </a:stretch>
          </xdr:blipFill>
          <xdr:spPr>
            <a:xfrm>
              <a:off x="12949560" y="3164040"/>
              <a:ext cx="151200" cy="57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188544</xdr:colOff>
      <xdr:row>28</xdr:row>
      <xdr:rowOff>48299</xdr:rowOff>
    </xdr:from>
    <xdr:to>
      <xdr:col>20</xdr:col>
      <xdr:colOff>333984</xdr:colOff>
      <xdr:row>30</xdr:row>
      <xdr:rowOff>132059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4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BBCAD721-EF5F-83AF-B69B-A6C2C68DE02E}"/>
                </a:ext>
                <a:ext uri="{147F2762-F138-4A5C-976F-8EAC2B608ADB}">
                  <a16:predDERef xmlns:a16="http://schemas.microsoft.com/office/drawing/2014/main" pred="{A18E23BC-EA01-E9A7-E59C-5057DCCD1043}"/>
                </a:ext>
              </a:extLst>
            </xdr14:cNvPr>
            <xdr14:cNvContentPartPr/>
          </xdr14:nvContentPartPr>
          <xdr14:nvPr macro=""/>
          <xdr14:xfrm>
            <a:off x="14650157" y="5988622"/>
            <a:ext cx="145440" cy="493437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BBCAD721-EF5F-83AF-B69B-A6C2C68DE02E}"/>
                </a:ext>
                <a:ext uri="{147F2762-F138-4A5C-976F-8EAC2B608ADB}">
                  <a16:predDERef xmlns:a16="http://schemas.microsoft.com/office/drawing/2014/main" pred="{A18E23BC-EA01-E9A7-E59C-5057DCCD1043}"/>
                </a:ext>
              </a:extLst>
            </xdr:cNvPr>
            <xdr:cNvPicPr/>
          </xdr:nvPicPr>
          <xdr:blipFill>
            <a:blip xmlns:r="http://schemas.openxmlformats.org/officeDocument/2006/relationships" r:embed="rId585"/>
            <a:stretch>
              <a:fillRect/>
            </a:stretch>
          </xdr:blipFill>
          <xdr:spPr>
            <a:xfrm>
              <a:off x="13560120" y="3276000"/>
              <a:ext cx="166680" cy="48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421464</xdr:colOff>
      <xdr:row>28</xdr:row>
      <xdr:rowOff>20939</xdr:rowOff>
    </xdr:from>
    <xdr:to>
      <xdr:col>20</xdr:col>
      <xdr:colOff>542784</xdr:colOff>
      <xdr:row>28</xdr:row>
      <xdr:rowOff>99779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6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C80A6704-51EC-1C67-E388-05764FDCD6D6}"/>
                </a:ext>
                <a:ext uri="{147F2762-F138-4A5C-976F-8EAC2B608ADB}">
                  <a16:predDERef xmlns:a16="http://schemas.microsoft.com/office/drawing/2014/main" pred="{BBCAD721-EF5F-83AF-B69B-A6C2C68DE02E}"/>
                </a:ext>
              </a:extLst>
            </xdr14:cNvPr>
            <xdr14:cNvContentPartPr/>
          </xdr14:nvContentPartPr>
          <xdr14:nvPr macro=""/>
          <xdr14:xfrm>
            <a:off x="14883077" y="5961262"/>
            <a:ext cx="121320" cy="7884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C80A6704-51EC-1C67-E388-05764FDCD6D6}"/>
                </a:ext>
                <a:ext uri="{147F2762-F138-4A5C-976F-8EAC2B608ADB}">
                  <a16:predDERef xmlns:a16="http://schemas.microsoft.com/office/drawing/2014/main" pred="{BBCAD721-EF5F-83AF-B69B-A6C2C68DE02E}"/>
                </a:ext>
              </a:extLst>
            </xdr:cNvPr>
            <xdr:cNvPicPr/>
          </xdr:nvPicPr>
          <xdr:blipFill>
            <a:blip xmlns:r="http://schemas.openxmlformats.org/officeDocument/2006/relationships" r:embed="rId587"/>
            <a:stretch>
              <a:fillRect/>
            </a:stretch>
          </xdr:blipFill>
          <xdr:spPr>
            <a:xfrm>
              <a:off x="13793040" y="3249000"/>
              <a:ext cx="14256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581666</xdr:colOff>
      <xdr:row>30</xdr:row>
      <xdr:rowOff>29099</xdr:rowOff>
    </xdr:from>
    <xdr:to>
      <xdr:col>14</xdr:col>
      <xdr:colOff>271345</xdr:colOff>
      <xdr:row>30</xdr:row>
      <xdr:rowOff>97139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8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4C742D4F-7FBD-8779-677C-55B06BAAE01B}"/>
                </a:ext>
                <a:ext uri="{147F2762-F138-4A5C-976F-8EAC2B608ADB}">
                  <a16:predDERef xmlns:a16="http://schemas.microsoft.com/office/drawing/2014/main" pred="{C80A6704-51EC-1C67-E388-05764FDCD6D6}"/>
                </a:ext>
              </a:extLst>
            </xdr14:cNvPr>
            <xdr14:cNvContentPartPr/>
          </xdr14:nvContentPartPr>
          <xdr14:nvPr macro=""/>
          <xdr14:xfrm>
            <a:off x="10127150" y="6379099"/>
            <a:ext cx="386130" cy="680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4C742D4F-7FBD-8779-677C-55B06BAAE01B}"/>
                </a:ext>
                <a:ext uri="{147F2762-F138-4A5C-976F-8EAC2B608ADB}">
                  <a16:predDERef xmlns:a16="http://schemas.microsoft.com/office/drawing/2014/main" pred="{C80A6704-51EC-1C67-E388-05764FDCD6D6}"/>
                </a:ext>
              </a:extLst>
            </xdr:cNvPr>
            <xdr:cNvPicPr/>
          </xdr:nvPicPr>
          <xdr:blipFill>
            <a:blip xmlns:r="http://schemas.openxmlformats.org/officeDocument/2006/relationships" r:embed="rId589"/>
            <a:stretch>
              <a:fillRect/>
            </a:stretch>
          </xdr:blipFill>
          <xdr:spPr>
            <a:xfrm>
              <a:off x="9411480" y="3637800"/>
              <a:ext cx="36648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37531</xdr:colOff>
      <xdr:row>30</xdr:row>
      <xdr:rowOff>94259</xdr:rowOff>
    </xdr:from>
    <xdr:to>
      <xdr:col>14</xdr:col>
      <xdr:colOff>180451</xdr:colOff>
      <xdr:row>31</xdr:row>
      <xdr:rowOff>72959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0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75E9054F-01A8-A7FE-207D-0544FEC2857C}"/>
                </a:ext>
                <a:ext uri="{147F2762-F138-4A5C-976F-8EAC2B608ADB}">
                  <a16:predDERef xmlns:a16="http://schemas.microsoft.com/office/drawing/2014/main" pred="{4C742D4F-7FBD-8779-677C-55B06BAAE01B}"/>
                </a:ext>
              </a:extLst>
            </xdr14:cNvPr>
            <xdr14:cNvContentPartPr/>
          </xdr14:nvContentPartPr>
          <xdr14:nvPr macro=""/>
          <xdr14:xfrm>
            <a:off x="10279466" y="6444259"/>
            <a:ext cx="142920" cy="183539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75E9054F-01A8-A7FE-207D-0544FEC2857C}"/>
                </a:ext>
                <a:ext uri="{147F2762-F138-4A5C-976F-8EAC2B608ADB}">
                  <a16:predDERef xmlns:a16="http://schemas.microsoft.com/office/drawing/2014/main" pred="{4C742D4F-7FBD-8779-677C-55B06BAAE01B}"/>
                </a:ext>
              </a:extLst>
            </xdr:cNvPr>
            <xdr:cNvPicPr/>
          </xdr:nvPicPr>
          <xdr:blipFill>
            <a:blip xmlns:r="http://schemas.openxmlformats.org/officeDocument/2006/relationships" r:embed="rId591"/>
            <a:stretch>
              <a:fillRect/>
            </a:stretch>
          </xdr:blipFill>
          <xdr:spPr>
            <a:xfrm>
              <a:off x="9514080" y="3702960"/>
              <a:ext cx="16416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152371</xdr:colOff>
      <xdr:row>31</xdr:row>
      <xdr:rowOff>39119</xdr:rowOff>
    </xdr:from>
    <xdr:to>
      <xdr:col>14</xdr:col>
      <xdr:colOff>219331</xdr:colOff>
      <xdr:row>31</xdr:row>
      <xdr:rowOff>184559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2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104D4A62-4509-C50E-943C-3E01F8C26CD2}"/>
                </a:ext>
                <a:ext uri="{147F2762-F138-4A5C-976F-8EAC2B608ADB}">
                  <a16:predDERef xmlns:a16="http://schemas.microsoft.com/office/drawing/2014/main" pred="{75E9054F-01A8-A7FE-207D-0544FEC2857C}"/>
                </a:ext>
              </a:extLst>
            </xdr14:cNvPr>
            <xdr14:cNvContentPartPr/>
          </xdr14:nvContentPartPr>
          <xdr14:nvPr macro=""/>
          <xdr14:xfrm>
            <a:off x="10394306" y="6593958"/>
            <a:ext cx="66960" cy="14544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104D4A62-4509-C50E-943C-3E01F8C26CD2}"/>
                </a:ext>
                <a:ext uri="{147F2762-F138-4A5C-976F-8EAC2B608ADB}">
                  <a16:predDERef xmlns:a16="http://schemas.microsoft.com/office/drawing/2014/main" pred="{75E9054F-01A8-A7FE-207D-0544FEC2857C}"/>
                </a:ext>
              </a:extLst>
            </xdr:cNvPr>
            <xdr:cNvPicPr/>
          </xdr:nvPicPr>
          <xdr:blipFill>
            <a:blip xmlns:r="http://schemas.openxmlformats.org/officeDocument/2006/relationships" r:embed="rId593"/>
            <a:stretch>
              <a:fillRect/>
            </a:stretch>
          </xdr:blipFill>
          <xdr:spPr>
            <a:xfrm>
              <a:off x="9629280" y="3838680"/>
              <a:ext cx="8820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738792</xdr:colOff>
      <xdr:row>48</xdr:row>
      <xdr:rowOff>124999</xdr:rowOff>
    </xdr:from>
    <xdr:to>
      <xdr:col>0</xdr:col>
      <xdr:colOff>839232</xdr:colOff>
      <xdr:row>48</xdr:row>
      <xdr:rowOff>145519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4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9D91FC32-2CC2-2968-ECE8-99E306F51D4B}"/>
                </a:ext>
                <a:ext uri="{147F2762-F138-4A5C-976F-8EAC2B608ADB}">
                  <a16:predDERef xmlns:a16="http://schemas.microsoft.com/office/drawing/2014/main" pred="{104D4A62-4509-C50E-943C-3E01F8C26CD2}"/>
                </a:ext>
              </a:extLst>
            </xdr14:cNvPr>
            <xdr14:cNvContentPartPr/>
          </xdr14:nvContentPartPr>
          <xdr14:nvPr macro=""/>
          <xdr14:xfrm>
            <a:off x="738792" y="10162096"/>
            <a:ext cx="100440" cy="2052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9D91FC32-2CC2-2968-ECE8-99E306F51D4B}"/>
                </a:ext>
                <a:ext uri="{147F2762-F138-4A5C-976F-8EAC2B608ADB}">
                  <a16:predDERef xmlns:a16="http://schemas.microsoft.com/office/drawing/2014/main" pred="{104D4A62-4509-C50E-943C-3E01F8C26CD2}"/>
                </a:ext>
              </a:extLst>
            </xdr:cNvPr>
            <xdr:cNvPicPr/>
          </xdr:nvPicPr>
          <xdr:blipFill>
            <a:blip xmlns:r="http://schemas.openxmlformats.org/officeDocument/2006/relationships" r:embed="rId595"/>
            <a:stretch>
              <a:fillRect/>
            </a:stretch>
          </xdr:blipFill>
          <xdr:spPr>
            <a:xfrm>
              <a:off x="769320" y="7144200"/>
              <a:ext cx="12168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763992</xdr:colOff>
      <xdr:row>49</xdr:row>
      <xdr:rowOff>9880</xdr:rowOff>
    </xdr:from>
    <xdr:to>
      <xdr:col>0</xdr:col>
      <xdr:colOff>864432</xdr:colOff>
      <xdr:row>49</xdr:row>
      <xdr:rowOff>44800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6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A59BA77C-607B-34CF-E31A-FC536D5DA540}"/>
                </a:ext>
                <a:ext uri="{147F2762-F138-4A5C-976F-8EAC2B608ADB}">
                  <a16:predDERef xmlns:a16="http://schemas.microsoft.com/office/drawing/2014/main" pred="{9D91FC32-2CC2-2968-ECE8-99E306F51D4B}"/>
                </a:ext>
              </a:extLst>
            </xdr14:cNvPr>
            <xdr14:cNvContentPartPr/>
          </xdr14:nvContentPartPr>
          <xdr14:nvPr macro=""/>
          <xdr14:xfrm>
            <a:off x="763992" y="10251815"/>
            <a:ext cx="100440" cy="3492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A59BA77C-607B-34CF-E31A-FC536D5DA540}"/>
                </a:ext>
                <a:ext uri="{147F2762-F138-4A5C-976F-8EAC2B608ADB}">
                  <a16:predDERef xmlns:a16="http://schemas.microsoft.com/office/drawing/2014/main" pred="{9D91FC32-2CC2-2968-ECE8-99E306F51D4B}"/>
                </a:ext>
              </a:extLst>
            </xdr:cNvPr>
            <xdr:cNvPicPr/>
          </xdr:nvPicPr>
          <xdr:blipFill>
            <a:blip xmlns:r="http://schemas.openxmlformats.org/officeDocument/2006/relationships" r:embed="rId597"/>
            <a:stretch>
              <a:fillRect/>
            </a:stretch>
          </xdr:blipFill>
          <xdr:spPr>
            <a:xfrm>
              <a:off x="794160" y="7219080"/>
              <a:ext cx="12168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184032</xdr:colOff>
      <xdr:row>48</xdr:row>
      <xdr:rowOff>49759</xdr:rowOff>
    </xdr:from>
    <xdr:to>
      <xdr:col>1</xdr:col>
      <xdr:colOff>294552</xdr:colOff>
      <xdr:row>50</xdr:row>
      <xdr:rowOff>115080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8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67F8FECD-3647-9170-7AAF-3CEDAB9D7517}"/>
                </a:ext>
                <a:ext uri="{147F2762-F138-4A5C-976F-8EAC2B608ADB}">
                  <a16:predDERef xmlns:a16="http://schemas.microsoft.com/office/drawing/2014/main" pred="{A59BA77C-607B-34CF-E31A-FC536D5DA540}"/>
                </a:ext>
              </a:extLst>
            </xdr14:cNvPr>
            <xdr14:cNvContentPartPr/>
          </xdr14:nvContentPartPr>
          <xdr14:nvPr macro=""/>
          <xdr14:xfrm>
            <a:off x="1208226" y="10086856"/>
            <a:ext cx="110520" cy="474998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67F8FECD-3647-9170-7AAF-3CEDAB9D7517}"/>
                </a:ext>
                <a:ext uri="{147F2762-F138-4A5C-976F-8EAC2B608ADB}">
                  <a16:predDERef xmlns:a16="http://schemas.microsoft.com/office/drawing/2014/main" pred="{A59BA77C-607B-34CF-E31A-FC536D5DA540}"/>
                </a:ext>
              </a:extLst>
            </xdr:cNvPr>
            <xdr:cNvPicPr/>
          </xdr:nvPicPr>
          <xdr:blipFill>
            <a:blip xmlns:r="http://schemas.openxmlformats.org/officeDocument/2006/relationships" r:embed="rId599"/>
            <a:stretch>
              <a:fillRect/>
            </a:stretch>
          </xdr:blipFill>
          <xdr:spPr>
            <a:xfrm>
              <a:off x="1159200" y="7069320"/>
              <a:ext cx="131760" cy="46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368712</xdr:colOff>
      <xdr:row>48</xdr:row>
      <xdr:rowOff>34999</xdr:rowOff>
    </xdr:from>
    <xdr:to>
      <xdr:col>1</xdr:col>
      <xdr:colOff>524232</xdr:colOff>
      <xdr:row>49</xdr:row>
      <xdr:rowOff>59920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0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178A7957-68B5-60CF-1FB6-C638B1E444D8}"/>
                </a:ext>
                <a:ext uri="{147F2762-F138-4A5C-976F-8EAC2B608ADB}">
                  <a16:predDERef xmlns:a16="http://schemas.microsoft.com/office/drawing/2014/main" pred="{67F8FECD-3647-9170-7AAF-3CEDAB9D7517}"/>
                </a:ext>
              </a:extLst>
            </xdr14:cNvPr>
            <xdr14:cNvContentPartPr/>
          </xdr14:nvContentPartPr>
          <xdr14:nvPr macro=""/>
          <xdr14:xfrm>
            <a:off x="1392906" y="10072096"/>
            <a:ext cx="155520" cy="229759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178A7957-68B5-60CF-1FB6-C638B1E444D8}"/>
                </a:ext>
                <a:ext uri="{147F2762-F138-4A5C-976F-8EAC2B608ADB}">
                  <a16:predDERef xmlns:a16="http://schemas.microsoft.com/office/drawing/2014/main" pred="{67F8FECD-3647-9170-7AAF-3CEDAB9D7517}"/>
                </a:ext>
              </a:extLst>
            </xdr:cNvPr>
            <xdr:cNvPicPr/>
          </xdr:nvPicPr>
          <xdr:blipFill>
            <a:blip xmlns:r="http://schemas.openxmlformats.org/officeDocument/2006/relationships" r:embed="rId601"/>
            <a:stretch>
              <a:fillRect/>
            </a:stretch>
          </xdr:blipFill>
          <xdr:spPr>
            <a:xfrm>
              <a:off x="1344240" y="7054200"/>
              <a:ext cx="17676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624435</xdr:colOff>
      <xdr:row>48</xdr:row>
      <xdr:rowOff>39679</xdr:rowOff>
    </xdr:from>
    <xdr:to>
      <xdr:col>2</xdr:col>
      <xdr:colOff>84152</xdr:colOff>
      <xdr:row>49</xdr:row>
      <xdr:rowOff>30040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2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FA5D6B27-F1F8-854A-1B74-6F3A47F6CB8C}"/>
                </a:ext>
                <a:ext uri="{147F2762-F138-4A5C-976F-8EAC2B608ADB}">
                  <a16:predDERef xmlns:a16="http://schemas.microsoft.com/office/drawing/2014/main" pred="{178A7957-68B5-60CF-1FB6-C638B1E444D8}"/>
                </a:ext>
              </a:extLst>
            </xdr14:cNvPr>
            <xdr14:cNvContentPartPr/>
          </xdr14:nvContentPartPr>
          <xdr14:nvPr macro=""/>
          <xdr14:xfrm>
            <a:off x="1648629" y="10076776"/>
            <a:ext cx="115200" cy="195199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FA5D6B27-F1F8-854A-1B74-6F3A47F6CB8C}"/>
                </a:ext>
                <a:ext uri="{147F2762-F138-4A5C-976F-8EAC2B608ADB}">
                  <a16:predDERef xmlns:a16="http://schemas.microsoft.com/office/drawing/2014/main" pred="{178A7957-68B5-60CF-1FB6-C638B1E444D8}"/>
                </a:ext>
              </a:extLst>
            </xdr:cNvPr>
            <xdr:cNvPicPr/>
          </xdr:nvPicPr>
          <xdr:blipFill>
            <a:blip xmlns:r="http://schemas.openxmlformats.org/officeDocument/2006/relationships" r:embed="rId603"/>
            <a:stretch>
              <a:fillRect/>
            </a:stretch>
          </xdr:blipFill>
          <xdr:spPr>
            <a:xfrm>
              <a:off x="1554120" y="7059240"/>
              <a:ext cx="13644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108992</xdr:colOff>
      <xdr:row>48</xdr:row>
      <xdr:rowOff>84679</xdr:rowOff>
    </xdr:from>
    <xdr:to>
      <xdr:col>2</xdr:col>
      <xdr:colOff>164432</xdr:colOff>
      <xdr:row>49</xdr:row>
      <xdr:rowOff>32920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4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8C54FC9B-2F42-4B48-590E-654817FEEA2A}"/>
                </a:ext>
                <a:ext uri="{147F2762-F138-4A5C-976F-8EAC2B608ADB}">
                  <a16:predDERef xmlns:a16="http://schemas.microsoft.com/office/drawing/2014/main" pred="{FA5D6B27-F1F8-854A-1B74-6F3A47F6CB8C}"/>
                </a:ext>
              </a:extLst>
            </xdr14:cNvPr>
            <xdr14:cNvContentPartPr/>
          </xdr14:nvContentPartPr>
          <xdr14:nvPr macro=""/>
          <xdr14:xfrm>
            <a:off x="1788669" y="10121776"/>
            <a:ext cx="55440" cy="153079"/>
          </xdr14:xfrm>
        </xdr:contentPart>
      </mc:Choice>
      <mc:Fallback xmlns=""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8C54FC9B-2F42-4B48-590E-654817FEEA2A}"/>
                </a:ext>
                <a:ext uri="{147F2762-F138-4A5C-976F-8EAC2B608ADB}">
                  <a16:predDERef xmlns:a16="http://schemas.microsoft.com/office/drawing/2014/main" pred="{FA5D6B27-F1F8-854A-1B74-6F3A47F6CB8C}"/>
                </a:ext>
              </a:extLst>
            </xdr:cNvPr>
            <xdr:cNvPicPr/>
          </xdr:nvPicPr>
          <xdr:blipFill>
            <a:blip xmlns:r="http://schemas.openxmlformats.org/officeDocument/2006/relationships" r:embed="rId605"/>
            <a:stretch>
              <a:fillRect/>
            </a:stretch>
          </xdr:blipFill>
          <xdr:spPr>
            <a:xfrm>
              <a:off x="1694160" y="7104240"/>
              <a:ext cx="766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208712</xdr:colOff>
      <xdr:row>48</xdr:row>
      <xdr:rowOff>89719</xdr:rowOff>
    </xdr:from>
    <xdr:to>
      <xdr:col>2</xdr:col>
      <xdr:colOff>418952</xdr:colOff>
      <xdr:row>49</xdr:row>
      <xdr:rowOff>69640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6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E400BA39-CE8C-811F-437E-4196F8E801F9}"/>
                </a:ext>
                <a:ext uri="{147F2762-F138-4A5C-976F-8EAC2B608ADB}">
                  <a16:predDERef xmlns:a16="http://schemas.microsoft.com/office/drawing/2014/main" pred="{8C54FC9B-2F42-4B48-590E-654817FEEA2A}"/>
                </a:ext>
              </a:extLst>
            </xdr14:cNvPr>
            <xdr14:cNvContentPartPr/>
          </xdr14:nvContentPartPr>
          <xdr14:nvPr macro=""/>
          <xdr14:xfrm>
            <a:off x="1888389" y="10126816"/>
            <a:ext cx="210240" cy="184759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E400BA39-CE8C-811F-437E-4196F8E801F9}"/>
                </a:ext>
                <a:ext uri="{147F2762-F138-4A5C-976F-8EAC2B608ADB}">
                  <a16:predDERef xmlns:a16="http://schemas.microsoft.com/office/drawing/2014/main" pred="{8C54FC9B-2F42-4B48-590E-654817FEEA2A}"/>
                </a:ext>
              </a:extLst>
            </xdr:cNvPr>
            <xdr:cNvPicPr/>
          </xdr:nvPicPr>
          <xdr:blipFill>
            <a:blip xmlns:r="http://schemas.openxmlformats.org/officeDocument/2006/relationships" r:embed="rId607"/>
            <a:stretch>
              <a:fillRect/>
            </a:stretch>
          </xdr:blipFill>
          <xdr:spPr>
            <a:xfrm>
              <a:off x="1794240" y="7109280"/>
              <a:ext cx="2314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283752</xdr:colOff>
      <xdr:row>49</xdr:row>
      <xdr:rowOff>74680</xdr:rowOff>
    </xdr:from>
    <xdr:to>
      <xdr:col>2</xdr:col>
      <xdr:colOff>449192</xdr:colOff>
      <xdr:row>49</xdr:row>
      <xdr:rowOff>175120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8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0E2007B9-8D40-C736-2C3D-00F250D21E96}"/>
                </a:ext>
                <a:ext uri="{147F2762-F138-4A5C-976F-8EAC2B608ADB}">
                  <a16:predDERef xmlns:a16="http://schemas.microsoft.com/office/drawing/2014/main" pred="{E400BA39-CE8C-811F-437E-4196F8E801F9}"/>
                </a:ext>
              </a:extLst>
            </xdr14:cNvPr>
            <xdr14:cNvContentPartPr/>
          </xdr14:nvContentPartPr>
          <xdr14:nvPr macro=""/>
          <xdr14:xfrm>
            <a:off x="1307946" y="10316615"/>
            <a:ext cx="820923" cy="10044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0E2007B9-8D40-C736-2C3D-00F250D21E96}"/>
                </a:ext>
                <a:ext uri="{147F2762-F138-4A5C-976F-8EAC2B608ADB}">
                  <a16:predDERef xmlns:a16="http://schemas.microsoft.com/office/drawing/2014/main" pred="{E400BA39-CE8C-811F-437E-4196F8E801F9}"/>
                </a:ext>
              </a:extLst>
            </xdr:cNvPr>
            <xdr:cNvPicPr/>
          </xdr:nvPicPr>
          <xdr:blipFill>
            <a:blip xmlns:r="http://schemas.openxmlformats.org/officeDocument/2006/relationships" r:embed="rId609"/>
            <a:stretch>
              <a:fillRect/>
            </a:stretch>
          </xdr:blipFill>
          <xdr:spPr>
            <a:xfrm>
              <a:off x="1259280" y="7284240"/>
              <a:ext cx="796680" cy="12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418752</xdr:colOff>
      <xdr:row>50</xdr:row>
      <xdr:rowOff>49920</xdr:rowOff>
    </xdr:from>
    <xdr:to>
      <xdr:col>2</xdr:col>
      <xdr:colOff>825</xdr:colOff>
      <xdr:row>51</xdr:row>
      <xdr:rowOff>84559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0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F06023A-26BE-AC47-E163-1D8DE9D0A6BE}"/>
                </a:ext>
                <a:ext uri="{147F2762-F138-4A5C-976F-8EAC2B608ADB}">
                  <a16:predDERef xmlns:a16="http://schemas.microsoft.com/office/drawing/2014/main" pred="{0E2007B9-8D40-C736-2C3D-00F250D21E96}"/>
                </a:ext>
              </a:extLst>
            </xdr14:cNvPr>
            <xdr14:cNvContentPartPr/>
          </xdr14:nvContentPartPr>
          <xdr14:nvPr macro=""/>
          <xdr14:xfrm>
            <a:off x="1442946" y="10496694"/>
            <a:ext cx="210723" cy="239478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F06023A-26BE-AC47-E163-1D8DE9D0A6BE}"/>
                </a:ext>
                <a:ext uri="{147F2762-F138-4A5C-976F-8EAC2B608ADB}">
                  <a16:predDERef xmlns:a16="http://schemas.microsoft.com/office/drawing/2014/main" pred="{0E2007B9-8D40-C736-2C3D-00F250D21E96}"/>
                </a:ext>
              </a:extLst>
            </xdr:cNvPr>
            <xdr:cNvPicPr/>
          </xdr:nvPicPr>
          <xdr:blipFill>
            <a:blip xmlns:r="http://schemas.openxmlformats.org/officeDocument/2006/relationships" r:embed="rId611"/>
            <a:stretch>
              <a:fillRect/>
            </a:stretch>
          </xdr:blipFill>
          <xdr:spPr>
            <a:xfrm>
              <a:off x="1394280" y="7449120"/>
              <a:ext cx="186480" cy="24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18992</xdr:colOff>
      <xdr:row>50</xdr:row>
      <xdr:rowOff>119760</xdr:rowOff>
    </xdr:from>
    <xdr:to>
      <xdr:col>2</xdr:col>
      <xdr:colOff>309512</xdr:colOff>
      <xdr:row>51</xdr:row>
      <xdr:rowOff>74479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2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6084FD3E-88C6-1522-05E5-3335128DBD0D}"/>
                </a:ext>
                <a:ext uri="{147F2762-F138-4A5C-976F-8EAC2B608ADB}">
                  <a16:predDERef xmlns:a16="http://schemas.microsoft.com/office/drawing/2014/main" pred="{DF06023A-26BE-AC47-E163-1D8DE9D0A6BE}"/>
                </a:ext>
              </a:extLst>
            </xdr14:cNvPr>
            <xdr14:cNvContentPartPr/>
          </xdr14:nvContentPartPr>
          <xdr14:nvPr macro=""/>
          <xdr14:xfrm>
            <a:off x="1698669" y="10566534"/>
            <a:ext cx="290520" cy="159558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6084FD3E-88C6-1522-05E5-3335128DBD0D}"/>
                </a:ext>
                <a:ext uri="{147F2762-F138-4A5C-976F-8EAC2B608ADB}">
                  <a16:predDERef xmlns:a16="http://schemas.microsoft.com/office/drawing/2014/main" pred="{DF06023A-26BE-AC47-E163-1D8DE9D0A6BE}"/>
                </a:ext>
              </a:extLst>
            </xdr:cNvPr>
            <xdr:cNvPicPr/>
          </xdr:nvPicPr>
          <xdr:blipFill>
            <a:blip xmlns:r="http://schemas.openxmlformats.org/officeDocument/2006/relationships" r:embed="rId613"/>
            <a:stretch>
              <a:fillRect/>
            </a:stretch>
          </xdr:blipFill>
          <xdr:spPr>
            <a:xfrm>
              <a:off x="1604160" y="7519320"/>
              <a:ext cx="3117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318872</xdr:colOff>
      <xdr:row>50</xdr:row>
      <xdr:rowOff>124800</xdr:rowOff>
    </xdr:from>
    <xdr:to>
      <xdr:col>2</xdr:col>
      <xdr:colOff>389072</xdr:colOff>
      <xdr:row>51</xdr:row>
      <xdr:rowOff>152959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4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7DE72DAD-813D-1C36-5FBB-E4E116BD035D}"/>
                </a:ext>
                <a:ext uri="{147F2762-F138-4A5C-976F-8EAC2B608ADB}">
                  <a16:predDERef xmlns:a16="http://schemas.microsoft.com/office/drawing/2014/main" pred="{6084FD3E-88C6-1522-05E5-3335128DBD0D}"/>
                </a:ext>
              </a:extLst>
            </xdr14:cNvPr>
            <xdr14:cNvContentPartPr/>
          </xdr14:nvContentPartPr>
          <xdr14:nvPr macro=""/>
          <xdr14:xfrm>
            <a:off x="1998549" y="10571574"/>
            <a:ext cx="70200" cy="232998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7DE72DAD-813D-1C36-5FBB-E4E116BD035D}"/>
                </a:ext>
                <a:ext uri="{147F2762-F138-4A5C-976F-8EAC2B608ADB}">
                  <a16:predDERef xmlns:a16="http://schemas.microsoft.com/office/drawing/2014/main" pred="{6084FD3E-88C6-1522-05E5-3335128DBD0D}"/>
                </a:ext>
              </a:extLst>
            </xdr:cNvPr>
            <xdr:cNvPicPr/>
          </xdr:nvPicPr>
          <xdr:blipFill>
            <a:blip xmlns:r="http://schemas.openxmlformats.org/officeDocument/2006/relationships" r:embed="rId615"/>
            <a:stretch>
              <a:fillRect/>
            </a:stretch>
          </xdr:blipFill>
          <xdr:spPr>
            <a:xfrm>
              <a:off x="1904040" y="7524360"/>
              <a:ext cx="91440" cy="23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498872</xdr:colOff>
      <xdr:row>48</xdr:row>
      <xdr:rowOff>19879</xdr:rowOff>
    </xdr:from>
    <xdr:to>
      <xdr:col>3</xdr:col>
      <xdr:colOff>14512</xdr:colOff>
      <xdr:row>51</xdr:row>
      <xdr:rowOff>60079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6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0AB363A2-8ACC-9CE7-CF66-A8F97C2F8218}"/>
                </a:ext>
                <a:ext uri="{147F2762-F138-4A5C-976F-8EAC2B608ADB}">
                  <a16:predDERef xmlns:a16="http://schemas.microsoft.com/office/drawing/2014/main" pred="{7DE72DAD-813D-1C36-5FBB-E4E116BD035D}"/>
                </a:ext>
              </a:extLst>
            </xdr14:cNvPr>
            <xdr14:cNvContentPartPr/>
          </xdr14:nvContentPartPr>
          <xdr14:nvPr macro=""/>
          <xdr14:xfrm>
            <a:off x="2178549" y="10056976"/>
            <a:ext cx="171124" cy="654716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0AB363A2-8ACC-9CE7-CF66-A8F97C2F8218}"/>
                </a:ext>
                <a:ext uri="{147F2762-F138-4A5C-976F-8EAC2B608ADB}">
                  <a16:predDERef xmlns:a16="http://schemas.microsoft.com/office/drawing/2014/main" pred="{7DE72DAD-813D-1C36-5FBB-E4E116BD035D}"/>
                </a:ext>
              </a:extLst>
            </xdr:cNvPr>
            <xdr:cNvPicPr/>
          </xdr:nvPicPr>
          <xdr:blipFill>
            <a:blip xmlns:r="http://schemas.openxmlformats.org/officeDocument/2006/relationships" r:embed="rId617"/>
            <a:stretch>
              <a:fillRect/>
            </a:stretch>
          </xdr:blipFill>
          <xdr:spPr>
            <a:xfrm>
              <a:off x="2084040" y="7039080"/>
              <a:ext cx="146880" cy="63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73912</xdr:colOff>
      <xdr:row>47</xdr:row>
      <xdr:rowOff>119880</xdr:rowOff>
    </xdr:from>
    <xdr:to>
      <xdr:col>3</xdr:col>
      <xdr:colOff>239152</xdr:colOff>
      <xdr:row>48</xdr:row>
      <xdr:rowOff>85399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8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3FEE9D21-8699-68CA-8652-A13D8A7AA69A}"/>
                </a:ext>
                <a:ext uri="{147F2762-F138-4A5C-976F-8EAC2B608ADB}">
                  <a16:predDERef xmlns:a16="http://schemas.microsoft.com/office/drawing/2014/main" pred="{0AB363A2-8ACC-9CE7-CF66-A8F97C2F8218}"/>
                </a:ext>
              </a:extLst>
            </xdr14:cNvPr>
            <xdr14:cNvContentPartPr/>
          </xdr14:nvContentPartPr>
          <xdr14:nvPr macro=""/>
          <xdr14:xfrm>
            <a:off x="2409073" y="9952138"/>
            <a:ext cx="165240" cy="170358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3FEE9D21-8699-68CA-8652-A13D8A7AA69A}"/>
                </a:ext>
                <a:ext uri="{147F2762-F138-4A5C-976F-8EAC2B608ADB}">
                  <a16:predDERef xmlns:a16="http://schemas.microsoft.com/office/drawing/2014/main" pred="{0AB363A2-8ACC-9CE7-CF66-A8F97C2F8218}"/>
                </a:ext>
              </a:extLst>
            </xdr:cNvPr>
            <xdr:cNvPicPr/>
          </xdr:nvPicPr>
          <xdr:blipFill>
            <a:blip xmlns:r="http://schemas.openxmlformats.org/officeDocument/2006/relationships" r:embed="rId619"/>
            <a:stretch>
              <a:fillRect/>
            </a:stretch>
          </xdr:blipFill>
          <xdr:spPr>
            <a:xfrm>
              <a:off x="2269080" y="6949080"/>
              <a:ext cx="18648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279472</xdr:colOff>
      <xdr:row>49</xdr:row>
      <xdr:rowOff>174760</xdr:rowOff>
    </xdr:from>
    <xdr:to>
      <xdr:col>3</xdr:col>
      <xdr:colOff>439312</xdr:colOff>
      <xdr:row>50</xdr:row>
      <xdr:rowOff>20040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0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29B8FBD2-D26F-4FEA-76D7-6B15BA183583}"/>
                </a:ext>
                <a:ext uri="{147F2762-F138-4A5C-976F-8EAC2B608ADB}">
                  <a16:predDERef xmlns:a16="http://schemas.microsoft.com/office/drawing/2014/main" pred="{3FEE9D21-8699-68CA-8652-A13D8A7AA69A}"/>
                </a:ext>
              </a:extLst>
            </xdr14:cNvPr>
            <xdr14:cNvContentPartPr/>
          </xdr14:nvContentPartPr>
          <xdr14:nvPr macro=""/>
          <xdr14:xfrm>
            <a:off x="2614633" y="10416695"/>
            <a:ext cx="159840" cy="50119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29B8FBD2-D26F-4FEA-76D7-6B15BA183583}"/>
                </a:ext>
                <a:ext uri="{147F2762-F138-4A5C-976F-8EAC2B608ADB}">
                  <a16:predDERef xmlns:a16="http://schemas.microsoft.com/office/drawing/2014/main" pred="{3FEE9D21-8699-68CA-8652-A13D8A7AA69A}"/>
                </a:ext>
              </a:extLst>
            </xdr:cNvPr>
            <xdr:cNvPicPr/>
          </xdr:nvPicPr>
          <xdr:blipFill>
            <a:blip xmlns:r="http://schemas.openxmlformats.org/officeDocument/2006/relationships" r:embed="rId621"/>
            <a:stretch>
              <a:fillRect/>
            </a:stretch>
          </xdr:blipFill>
          <xdr:spPr>
            <a:xfrm>
              <a:off x="2474640" y="7384320"/>
              <a:ext cx="181080" cy="5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368752</xdr:colOff>
      <xdr:row>49</xdr:row>
      <xdr:rowOff>109960</xdr:rowOff>
    </xdr:from>
    <xdr:to>
      <xdr:col>3</xdr:col>
      <xdr:colOff>393952</xdr:colOff>
      <xdr:row>50</xdr:row>
      <xdr:rowOff>85200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2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FDC93F29-ADCE-9358-DF4A-2E7D0BE27F78}"/>
                </a:ext>
                <a:ext uri="{147F2762-F138-4A5C-976F-8EAC2B608ADB}">
                  <a16:predDERef xmlns:a16="http://schemas.microsoft.com/office/drawing/2014/main" pred="{29B8FBD2-D26F-4FEA-76D7-6B15BA183583}"/>
                </a:ext>
              </a:extLst>
            </xdr14:cNvPr>
            <xdr14:cNvContentPartPr/>
          </xdr14:nvContentPartPr>
          <xdr14:nvPr macro=""/>
          <xdr14:xfrm>
            <a:off x="2703913" y="10351895"/>
            <a:ext cx="25200" cy="180079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FDC93F29-ADCE-9358-DF4A-2E7D0BE27F78}"/>
                </a:ext>
                <a:ext uri="{147F2762-F138-4A5C-976F-8EAC2B608ADB}">
                  <a16:predDERef xmlns:a16="http://schemas.microsoft.com/office/drawing/2014/main" pred="{29B8FBD2-D26F-4FEA-76D7-6B15BA183583}"/>
                </a:ext>
              </a:extLst>
            </xdr:cNvPr>
            <xdr:cNvPicPr/>
          </xdr:nvPicPr>
          <xdr:blipFill>
            <a:blip xmlns:r="http://schemas.openxmlformats.org/officeDocument/2006/relationships" r:embed="rId623"/>
            <a:stretch>
              <a:fillRect/>
            </a:stretch>
          </xdr:blipFill>
          <xdr:spPr>
            <a:xfrm>
              <a:off x="2564280" y="7319160"/>
              <a:ext cx="46440" cy="186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373082</xdr:colOff>
      <xdr:row>48</xdr:row>
      <xdr:rowOff>118239</xdr:rowOff>
    </xdr:from>
    <xdr:to>
      <xdr:col>4</xdr:col>
      <xdr:colOff>495842</xdr:colOff>
      <xdr:row>50</xdr:row>
      <xdr:rowOff>8166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4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19881A8E-005C-2787-DA3A-303368140A17}"/>
                </a:ext>
                <a:ext uri="{147F2762-F138-4A5C-976F-8EAC2B608ADB}">
                  <a16:predDERef xmlns:a16="http://schemas.microsoft.com/office/drawing/2014/main" pred="{FDC93F29-ADCE-9358-DF4A-2E7D0BE27F78}"/>
                </a:ext>
              </a:extLst>
            </xdr14:cNvPr>
            <xdr14:cNvContentPartPr/>
          </xdr14:nvContentPartPr>
          <xdr14:nvPr macro=""/>
          <xdr14:xfrm>
            <a:off x="3363727" y="10155336"/>
            <a:ext cx="122760" cy="299604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19881A8E-005C-2787-DA3A-303368140A17}"/>
                </a:ext>
                <a:ext uri="{147F2762-F138-4A5C-976F-8EAC2B608ADB}">
                  <a16:predDERef xmlns:a16="http://schemas.microsoft.com/office/drawing/2014/main" pred="{FDC93F29-ADCE-9358-DF4A-2E7D0BE27F78}"/>
                </a:ext>
              </a:extLst>
            </xdr:cNvPr>
            <xdr:cNvPicPr/>
          </xdr:nvPicPr>
          <xdr:blipFill>
            <a:blip xmlns:r="http://schemas.openxmlformats.org/officeDocument/2006/relationships" r:embed="rId625"/>
            <a:stretch>
              <a:fillRect/>
            </a:stretch>
          </xdr:blipFill>
          <xdr:spPr>
            <a:xfrm>
              <a:off x="3183840" y="7112160"/>
              <a:ext cx="14400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572492</xdr:colOff>
      <xdr:row>32</xdr:row>
      <xdr:rowOff>163127</xdr:rowOff>
    </xdr:from>
    <xdr:to>
      <xdr:col>5</xdr:col>
      <xdr:colOff>875</xdr:colOff>
      <xdr:row>33</xdr:row>
      <xdr:rowOff>85935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6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E7CCD393-3E5E-3D7B-33B3-F216C63030B4}"/>
                </a:ext>
                <a:ext uri="{147F2762-F138-4A5C-976F-8EAC2B608ADB}">
                  <a16:predDERef xmlns:a16="http://schemas.microsoft.com/office/drawing/2014/main" pred="{19881A8E-005C-2787-DA3A-303368140A17}"/>
                </a:ext>
              </a:extLst>
            </xdr14:cNvPr>
            <xdr14:cNvContentPartPr/>
          </xdr14:nvContentPartPr>
          <xdr14:nvPr macro=""/>
          <xdr14:xfrm>
            <a:off x="3563137" y="6922804"/>
            <a:ext cx="104658" cy="127647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E7CCD393-3E5E-3D7B-33B3-F216C63030B4}"/>
                </a:ext>
                <a:ext uri="{147F2762-F138-4A5C-976F-8EAC2B608ADB}">
                  <a16:predDERef xmlns:a16="http://schemas.microsoft.com/office/drawing/2014/main" pred="{19881A8E-005C-2787-DA3A-303368140A17}"/>
                </a:ext>
              </a:extLst>
            </xdr:cNvPr>
            <xdr:cNvPicPr/>
          </xdr:nvPicPr>
          <xdr:blipFill>
            <a:blip xmlns:r="http://schemas.openxmlformats.org/officeDocument/2006/relationships" r:embed="rId627"/>
            <a:stretch>
              <a:fillRect/>
            </a:stretch>
          </xdr:blipFill>
          <xdr:spPr>
            <a:xfrm>
              <a:off x="3381120" y="4147560"/>
              <a:ext cx="8856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617852</xdr:colOff>
      <xdr:row>33</xdr:row>
      <xdr:rowOff>184575</xdr:rowOff>
    </xdr:from>
    <xdr:to>
      <xdr:col>5</xdr:col>
      <xdr:colOff>4818</xdr:colOff>
      <xdr:row>34</xdr:row>
      <xdr:rowOff>107381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8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8C2270F4-039C-F0E1-F39D-5B6263609819}"/>
                </a:ext>
                <a:ext uri="{147F2762-F138-4A5C-976F-8EAC2B608ADB}">
                  <a16:predDERef xmlns:a16="http://schemas.microsoft.com/office/drawing/2014/main" pred="{E7CCD393-3E5E-3D7B-33B3-F216C63030B4}"/>
                </a:ext>
              </a:extLst>
            </xdr14:cNvPr>
            <xdr14:cNvContentPartPr/>
          </xdr14:nvContentPartPr>
          <xdr14:nvPr macro=""/>
          <xdr14:xfrm>
            <a:off x="3608497" y="7149091"/>
            <a:ext cx="83418" cy="127645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8C2270F4-039C-F0E1-F39D-5B6263609819}"/>
                </a:ext>
                <a:ext uri="{147F2762-F138-4A5C-976F-8EAC2B608ADB}">
                  <a16:predDERef xmlns:a16="http://schemas.microsoft.com/office/drawing/2014/main" pred="{E7CCD393-3E5E-3D7B-33B3-F216C63030B4}"/>
                </a:ext>
              </a:extLst>
            </xdr:cNvPr>
            <xdr:cNvPicPr/>
          </xdr:nvPicPr>
          <xdr:blipFill>
            <a:blip xmlns:r="http://schemas.openxmlformats.org/officeDocument/2006/relationships" r:embed="rId629"/>
            <a:stretch>
              <a:fillRect/>
            </a:stretch>
          </xdr:blipFill>
          <xdr:spPr>
            <a:xfrm>
              <a:off x="3426840" y="4359240"/>
              <a:ext cx="6732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486812</xdr:colOff>
      <xdr:row>36</xdr:row>
      <xdr:rowOff>45518</xdr:rowOff>
    </xdr:from>
    <xdr:to>
      <xdr:col>4</xdr:col>
      <xdr:colOff>537932</xdr:colOff>
      <xdr:row>36</xdr:row>
      <xdr:rowOff>179438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0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9F20FD08-83FE-2386-B303-83AE59329F60}"/>
                </a:ext>
                <a:ext uri="{147F2762-F138-4A5C-976F-8EAC2B608ADB}">
                  <a16:predDERef xmlns:a16="http://schemas.microsoft.com/office/drawing/2014/main" pred="{8C2270F4-039C-F0E1-F39D-5B6263609819}"/>
                </a:ext>
              </a:extLst>
            </xdr14:cNvPr>
            <xdr14:cNvContentPartPr/>
          </xdr14:nvContentPartPr>
          <xdr14:nvPr macro=""/>
          <xdr14:xfrm>
            <a:off x="3477457" y="7624550"/>
            <a:ext cx="51120" cy="13392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9F20FD08-83FE-2386-B303-83AE59329F60}"/>
                </a:ext>
                <a:ext uri="{147F2762-F138-4A5C-976F-8EAC2B608ADB}">
                  <a16:predDERef xmlns:a16="http://schemas.microsoft.com/office/drawing/2014/main" pred="{8C2270F4-039C-F0E1-F39D-5B6263609819}"/>
                </a:ext>
              </a:extLst>
            </xdr:cNvPr>
            <xdr:cNvPicPr/>
          </xdr:nvPicPr>
          <xdr:blipFill>
            <a:blip xmlns:r="http://schemas.openxmlformats.org/officeDocument/2006/relationships" r:embed="rId631"/>
            <a:stretch>
              <a:fillRect/>
            </a:stretch>
          </xdr:blipFill>
          <xdr:spPr>
            <a:xfrm>
              <a:off x="3295440" y="4790520"/>
              <a:ext cx="7236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49702</xdr:colOff>
      <xdr:row>40</xdr:row>
      <xdr:rowOff>2822</xdr:rowOff>
    </xdr:from>
    <xdr:to>
      <xdr:col>4</xdr:col>
      <xdr:colOff>86782</xdr:colOff>
      <xdr:row>40</xdr:row>
      <xdr:rowOff>93902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2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1CE0DC7F-FCF9-10BE-4874-D8D8A2D5DC04}"/>
                </a:ext>
                <a:ext uri="{147F2762-F138-4A5C-976F-8EAC2B608ADB}">
                  <a16:predDERef xmlns:a16="http://schemas.microsoft.com/office/drawing/2014/main" pred="{9F20FD08-83FE-2386-B303-83AE59329F60}"/>
                </a:ext>
              </a:extLst>
            </xdr14:cNvPr>
            <xdr14:cNvContentPartPr/>
          </xdr14:nvContentPartPr>
          <xdr14:nvPr macro=""/>
          <xdr14:xfrm>
            <a:off x="3040347" y="8401209"/>
            <a:ext cx="37080" cy="9108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1CE0DC7F-FCF9-10BE-4874-D8D8A2D5DC04}"/>
                </a:ext>
                <a:ext uri="{147F2762-F138-4A5C-976F-8EAC2B608ADB}">
                  <a16:predDERef xmlns:a16="http://schemas.microsoft.com/office/drawing/2014/main" pred="{9F20FD08-83FE-2386-B303-83AE59329F60}"/>
                </a:ext>
              </a:extLst>
            </xdr:cNvPr>
            <xdr:cNvPicPr/>
          </xdr:nvPicPr>
          <xdr:blipFill>
            <a:blip xmlns:r="http://schemas.openxmlformats.org/officeDocument/2006/relationships" r:embed="rId633"/>
            <a:stretch>
              <a:fillRect/>
            </a:stretch>
          </xdr:blipFill>
          <xdr:spPr>
            <a:xfrm>
              <a:off x="2855160" y="5500080"/>
              <a:ext cx="5832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65182</xdr:colOff>
      <xdr:row>40</xdr:row>
      <xdr:rowOff>138902</xdr:rowOff>
    </xdr:from>
    <xdr:to>
      <xdr:col>4</xdr:col>
      <xdr:colOff>66622</xdr:colOff>
      <xdr:row>40</xdr:row>
      <xdr:rowOff>142142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4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DC22D596-0E1B-0240-0D30-C4C30D86EFA9}"/>
                </a:ext>
                <a:ext uri="{147F2762-F138-4A5C-976F-8EAC2B608ADB}">
                  <a16:predDERef xmlns:a16="http://schemas.microsoft.com/office/drawing/2014/main" pred="{1CE0DC7F-FCF9-10BE-4874-D8D8A2D5DC04}"/>
                </a:ext>
              </a:extLst>
            </xdr14:cNvPr>
            <xdr14:cNvContentPartPr/>
          </xdr14:nvContentPartPr>
          <xdr14:nvPr macro=""/>
          <xdr14:xfrm>
            <a:off x="3055827" y="8537289"/>
            <a:ext cx="1440" cy="324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DC22D596-0E1B-0240-0D30-C4C30D86EFA9}"/>
                </a:ext>
                <a:ext uri="{147F2762-F138-4A5C-976F-8EAC2B608ADB}">
                  <a16:predDERef xmlns:a16="http://schemas.microsoft.com/office/drawing/2014/main" pred="{1CE0DC7F-FCF9-10BE-4874-D8D8A2D5DC04}"/>
                </a:ext>
              </a:extLst>
            </xdr:cNvPr>
            <xdr:cNvPicPr/>
          </xdr:nvPicPr>
          <xdr:blipFill>
            <a:blip xmlns:r="http://schemas.openxmlformats.org/officeDocument/2006/relationships" r:embed="rId635"/>
            <a:stretch>
              <a:fillRect/>
            </a:stretch>
          </xdr:blipFill>
          <xdr:spPr>
            <a:xfrm>
              <a:off x="2871000" y="5636160"/>
              <a:ext cx="226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60862</xdr:colOff>
      <xdr:row>40</xdr:row>
      <xdr:rowOff>118742</xdr:rowOff>
    </xdr:from>
    <xdr:to>
      <xdr:col>4</xdr:col>
      <xdr:colOff>95062</xdr:colOff>
      <xdr:row>41</xdr:row>
      <xdr:rowOff>22768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6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646BB7CD-4470-461E-286C-50BFBE171968}"/>
                </a:ext>
                <a:ext uri="{147F2762-F138-4A5C-976F-8EAC2B608ADB}">
                  <a16:predDERef xmlns:a16="http://schemas.microsoft.com/office/drawing/2014/main" pred="{DC22D596-0E1B-0240-0D30-C4C30D86EFA9}"/>
                </a:ext>
              </a:extLst>
            </xdr14:cNvPr>
            <xdr14:cNvContentPartPr/>
          </xdr14:nvContentPartPr>
          <xdr14:nvPr macro=""/>
          <xdr14:xfrm>
            <a:off x="3051507" y="8517129"/>
            <a:ext cx="34200" cy="108865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646BB7CD-4470-461E-286C-50BFBE171968}"/>
                </a:ext>
                <a:ext uri="{147F2762-F138-4A5C-976F-8EAC2B608ADB}">
                  <a16:predDERef xmlns:a16="http://schemas.microsoft.com/office/drawing/2014/main" pred="{DC22D596-0E1B-0240-0D30-C4C30D86EFA9}"/>
                </a:ext>
              </a:extLst>
            </xdr:cNvPr>
            <xdr:cNvPicPr/>
          </xdr:nvPicPr>
          <xdr:blipFill>
            <a:blip xmlns:r="http://schemas.openxmlformats.org/officeDocument/2006/relationships">
              <a:extLst>
                <a:ext uri="{859C6359-EEC7-425E-80AA-8B6E71F07EA2}">
                  <ac:imgData xmlns:ac="http://schemas.microsoft.com/office/drawing/2013/main/command" contentType="image/png" extension="">iVBORw0KGgoAAAANSUhEUgAAAAUAAAAKCAYAAAB8OZQwAAAAAXNSR0IArs4c6QAAAHhlWElmTU0A
KgAAAAgABQESAAMAAAABAAEAAAEaAAUAAAABAAAASgEbAAUAAAABAAAAUgEoAAMAAAABAAIAAIdp
AAQAAAABAAAAWgAAAAAAAABIAAAAAQAAAEgAAAABAAKgAgAEAAAAAQAAAAWgAwAEAAAAAQAAAAoA
AAAAQQhukQAAAAlwSFlzAAALEwAACxMBAJqcGAAAAEBJREFUCB1jYICA/UDqPxA3QLgQBkgAhhsY
oRyYAjDNBCQPoIgAOThVoitkAGlHB40gAZitKE7ajySBossBmQcAR3UP/aAhsB8AAAAASUVORK5C
YII=</ac:imgData>
                </a:ext>
                <a:ext uri="{25254902-B7B3-43ED-9DED-04A9389C662E}">
                  <ac:picSrcUrl xmlns:ac="http://schemas.microsoft.com/office/drawing/2013/main/command" tgt=""/>
                </a:ext>
              </a:extLst>
            </a:blip>
            <a:stretch>
              <a:fillRect/>
            </a:stretch>
          </xdr:blipFill>
          <xdr:spPr>
            <a:xfrm>
              <a:off x="2866680" y="5616360"/>
              <a:ext cx="5544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395636</xdr:colOff>
      <xdr:row>38</xdr:row>
      <xdr:rowOff>175749</xdr:rowOff>
    </xdr:from>
    <xdr:to>
      <xdr:col>5</xdr:col>
      <xdr:colOff>443156</xdr:colOff>
      <xdr:row>39</xdr:row>
      <xdr:rowOff>88032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7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104605C0-66AE-8A61-9B78-A5B15956E31E}"/>
                </a:ext>
                <a:ext uri="{147F2762-F138-4A5C-976F-8EAC2B608ADB}">
                  <a16:predDERef xmlns:a16="http://schemas.microsoft.com/office/drawing/2014/main" pred="{646BB7CD-4470-461E-286C-50BFBE171968}"/>
                </a:ext>
              </a:extLst>
            </xdr14:cNvPr>
            <xdr14:cNvContentPartPr/>
          </xdr14:nvContentPartPr>
          <xdr14:nvPr macro=""/>
          <xdr14:xfrm>
            <a:off x="4082733" y="8164459"/>
            <a:ext cx="47520" cy="117121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104605C0-66AE-8A61-9B78-A5B15956E31E}"/>
                </a:ext>
                <a:ext uri="{147F2762-F138-4A5C-976F-8EAC2B608ADB}">
                  <a16:predDERef xmlns:a16="http://schemas.microsoft.com/office/drawing/2014/main" pred="{646BB7CD-4470-461E-286C-50BFBE171968}"/>
                </a:ext>
              </a:extLst>
            </xdr:cNvPr>
            <xdr:cNvPicPr/>
          </xdr:nvPicPr>
          <xdr:blipFill>
            <a:blip xmlns:r="http://schemas.openxmlformats.org/officeDocument/2006/relationships">
              <a:extLst>
                <a:ext uri="{859C6359-EEC7-425E-80AA-8B6E71F07EA2}">
                  <ac:imgData xmlns:ac="http://schemas.microsoft.com/office/drawing/2013/main/command" contentType="image/png" extension="">iVBORw0KGgoAAAANSUhEUgAAAAYAAAALCAYAAABcUvyWAAAAAXNSR0IArs4c6QAAAHhlWElmTU0A
KgAAAAgABQESAAMAAAABAAEAAAEaAAUAAAABAAAASgEbAAUAAAABAAAAUgEoAAMAAAABAAIAAIdp
AAQAAAABAAAAWgAAAAAAAABIAAAAAQAAAEgAAAABAAKgAgAEAAAAAQAAAAagAwAEAAAAAQAAAAsA
AAAAL/IcpQAAAAlwSFlzAAALEwAACxMBAJqcGAAAAFBJREFUGBljYIAAByDVAMT/odiBEcgAAZAA
CmAC8hxQRKAckARWQJ4OZKMOADmOQMyIbsdBoCBIkgFdAiQGBiCJAxAmKskM5D4AYphHE2HSAIPD
CRc0oJuqAAAAAElFTkSuQmCC</ac:imgData>
                </a:ext>
                <a:ext uri="{25254902-B7B3-43ED-9DED-04A9389C662E}">
                  <ac:picSrcUrl xmlns:ac="http://schemas.microsoft.com/office/drawing/2013/main/command" tgt=""/>
                </a:ext>
              </a:extLst>
            </a:blip>
            <a:stretch>
              <a:fillRect/>
            </a:stretch>
          </xdr:blipFill>
          <xdr:spPr>
            <a:xfrm>
              <a:off x="3862080" y="5342760"/>
              <a:ext cx="6876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383305</xdr:colOff>
      <xdr:row>35</xdr:row>
      <xdr:rowOff>88981</xdr:rowOff>
    </xdr:from>
    <xdr:to>
      <xdr:col>4</xdr:col>
      <xdr:colOff>414985</xdr:colOff>
      <xdr:row>36</xdr:row>
      <xdr:rowOff>20704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8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63174DFC-FE01-F3BC-22C4-44E6D78E2849}"/>
                </a:ext>
                <a:ext uri="{147F2762-F138-4A5C-976F-8EAC2B608ADB}">
                  <a16:predDERef xmlns:a16="http://schemas.microsoft.com/office/drawing/2014/main" pred="{104605C0-66AE-8A61-9B78-A5B15956E31E}"/>
                </a:ext>
              </a:extLst>
            </xdr14:cNvPr>
            <xdr14:cNvContentPartPr/>
          </xdr14:nvContentPartPr>
          <xdr14:nvPr macro=""/>
          <xdr14:xfrm>
            <a:off x="3373950" y="7463175"/>
            <a:ext cx="31680" cy="136561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63174DFC-FE01-F3BC-22C4-44E6D78E2849}"/>
                </a:ext>
                <a:ext uri="{147F2762-F138-4A5C-976F-8EAC2B608ADB}">
                  <a16:predDERef xmlns:a16="http://schemas.microsoft.com/office/drawing/2014/main" pred="{104605C0-66AE-8A61-9B78-A5B15956E31E}"/>
                </a:ext>
              </a:extLst>
            </xdr:cNvPr>
            <xdr:cNvPicPr/>
          </xdr:nvPicPr>
          <xdr:blipFill>
            <a:blip xmlns:r="http://schemas.openxmlformats.org/officeDocument/2006/relationships">
              <a:extLst>
                <a:ext uri="{859C6359-EEC7-425E-80AA-8B6E71F07EA2}">
                  <ac:imgData xmlns:ac="http://schemas.microsoft.com/office/drawing/2013/main/command" contentType="image/png" extension="">iVBORw0KGgoAAAANSUhEUgAAAAUAAAAMCAYAAACqYHctAAAAAXNSR0IArs4c6QAAAHhlWElmTU0A
KgAAAAgABQESAAMAAAABAAEAAAEaAAUAAAABAAAASgEbAAUAAAABAAAAUgEoAAMAAAABAAIAAIdp
AAQAAAABAAAAWgAAAAAAAABIAAAAAQAAAEgAAAABAAKgAgAEAAAAAQAAAAWgAwAEAAAAAQAAAAwA
AAAAzkibMQAAAAlwSFlzAAALEwAACxMBAJqcGAAAAExJREFUCB11jYsRABAMQ8tkRqvJ2IzEp+eo
3kV4TUtkVoKVpRQmk7acVnkoRGiKeDzF8XN0BLxkZsd24a4Ed7J6kOxJ/iE7BdqfjWQHssUQwg/E
RQIAAAAASUVORK5CYII=</ac:imgData>
                </a:ext>
                <a:ext uri="{25254902-B7B3-43ED-9DED-04A9389C662E}">
                  <ac:picSrcUrl xmlns:ac="http://schemas.microsoft.com/office/drawing/2013/main/command" tgt=""/>
                </a:ext>
              </a:extLst>
            </a:blip>
            <a:stretch>
              <a:fillRect/>
            </a:stretch>
          </xdr:blipFill>
          <xdr:spPr>
            <a:xfrm>
              <a:off x="3189240" y="4680360"/>
              <a:ext cx="529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313916</xdr:colOff>
      <xdr:row>40</xdr:row>
      <xdr:rowOff>81675</xdr:rowOff>
    </xdr:from>
    <xdr:to>
      <xdr:col>5</xdr:col>
      <xdr:colOff>380156</xdr:colOff>
      <xdr:row>41</xdr:row>
      <xdr:rowOff>9796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9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4F51E97E-1F17-22D7-1EB4-9A2ACEE22000}"/>
                </a:ext>
                <a:ext uri="{147F2762-F138-4A5C-976F-8EAC2B608ADB}">
                  <a16:predDERef xmlns:a16="http://schemas.microsoft.com/office/drawing/2014/main" pred="{63174DFC-FE01-F3BC-22C4-44E6D78E2849}"/>
                </a:ext>
              </a:extLst>
            </xdr14:cNvPr>
            <xdr14:cNvContentPartPr/>
          </xdr14:nvContentPartPr>
          <xdr14:nvPr macro=""/>
          <xdr14:xfrm>
            <a:off x="4001013" y="8480062"/>
            <a:ext cx="66240" cy="13296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4F51E97E-1F17-22D7-1EB4-9A2ACEE22000}"/>
                </a:ext>
                <a:ext uri="{147F2762-F138-4A5C-976F-8EAC2B608ADB}">
                  <a16:predDERef xmlns:a16="http://schemas.microsoft.com/office/drawing/2014/main" pred="{63174DFC-FE01-F3BC-22C4-44E6D78E2849}"/>
                </a:ext>
              </a:extLst>
            </xdr:cNvPr>
            <xdr:cNvPicPr/>
          </xdr:nvPicPr>
          <xdr:blipFill>
            <a:blip xmlns:r="http://schemas.openxmlformats.org/officeDocument/2006/relationships" r:embed="rId640"/>
            <a:stretch>
              <a:fillRect/>
            </a:stretch>
          </xdr:blipFill>
          <xdr:spPr>
            <a:xfrm>
              <a:off x="3780360" y="5631840"/>
              <a:ext cx="874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361130</xdr:colOff>
      <xdr:row>38</xdr:row>
      <xdr:rowOff>169629</xdr:rowOff>
    </xdr:from>
    <xdr:to>
      <xdr:col>7</xdr:col>
      <xdr:colOff>421250</xdr:colOff>
      <xdr:row>39</xdr:row>
      <xdr:rowOff>100992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1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FC342290-1D0A-9616-F3CD-543D9F008CAA}"/>
                </a:ext>
                <a:ext uri="{147F2762-F138-4A5C-976F-8EAC2B608ADB}">
                  <a16:predDERef xmlns:a16="http://schemas.microsoft.com/office/drawing/2014/main" pred="{4F51E97E-1F17-22D7-1EB4-9A2ACEE22000}"/>
                </a:ext>
              </a:extLst>
            </xdr14:cNvPr>
            <xdr14:cNvContentPartPr/>
          </xdr14:nvContentPartPr>
          <xdr14:nvPr macro=""/>
          <xdr14:xfrm>
            <a:off x="5400162" y="8158339"/>
            <a:ext cx="60120" cy="136201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FC342290-1D0A-9616-F3CD-543D9F008CAA}"/>
                </a:ext>
                <a:ext uri="{147F2762-F138-4A5C-976F-8EAC2B608ADB}">
                  <a16:predDERef xmlns:a16="http://schemas.microsoft.com/office/drawing/2014/main" pred="{4F51E97E-1F17-22D7-1EB4-9A2ACEE22000}"/>
                </a:ext>
              </a:extLst>
            </xdr:cNvPr>
            <xdr:cNvPicPr/>
          </xdr:nvPicPr>
          <xdr:blipFill>
            <a:blip xmlns:r="http://schemas.openxmlformats.org/officeDocument/2006/relationships" r:embed="rId642"/>
            <a:stretch>
              <a:fillRect/>
            </a:stretch>
          </xdr:blipFill>
          <xdr:spPr>
            <a:xfrm>
              <a:off x="5085000" y="5336280"/>
              <a:ext cx="8136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219650</xdr:colOff>
      <xdr:row>40</xdr:row>
      <xdr:rowOff>138555</xdr:rowOff>
    </xdr:from>
    <xdr:to>
      <xdr:col>7</xdr:col>
      <xdr:colOff>279770</xdr:colOff>
      <xdr:row>41</xdr:row>
      <xdr:rowOff>78916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3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034411B4-4D8A-BF1B-2742-55545152220F}"/>
                </a:ext>
                <a:ext uri="{147F2762-F138-4A5C-976F-8EAC2B608ADB}">
                  <a16:predDERef xmlns:a16="http://schemas.microsoft.com/office/drawing/2014/main" pred="{FC342290-1D0A-9616-F3CD-543D9F008CAA}"/>
                </a:ext>
              </a:extLst>
            </xdr14:cNvPr>
            <xdr14:cNvContentPartPr/>
          </xdr14:nvContentPartPr>
          <xdr14:nvPr macro=""/>
          <xdr14:xfrm>
            <a:off x="5258682" y="8536942"/>
            <a:ext cx="60120" cy="14520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034411B4-4D8A-BF1B-2742-55545152220F}"/>
                </a:ext>
                <a:ext uri="{147F2762-F138-4A5C-976F-8EAC2B608ADB}">
                  <a16:predDERef xmlns:a16="http://schemas.microsoft.com/office/drawing/2014/main" pred="{FC342290-1D0A-9616-F3CD-543D9F008CAA}"/>
                </a:ext>
              </a:extLst>
            </xdr:cNvPr>
            <xdr:cNvPicPr/>
          </xdr:nvPicPr>
          <xdr:blipFill>
            <a:blip xmlns:r="http://schemas.openxmlformats.org/officeDocument/2006/relationships" r:embed="rId644"/>
            <a:stretch>
              <a:fillRect/>
            </a:stretch>
          </xdr:blipFill>
          <xdr:spPr>
            <a:xfrm>
              <a:off x="4943520" y="5688720"/>
              <a:ext cx="8136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170591</xdr:colOff>
      <xdr:row>46</xdr:row>
      <xdr:rowOff>96079</xdr:rowOff>
    </xdr:from>
    <xdr:to>
      <xdr:col>8</xdr:col>
      <xdr:colOff>180671</xdr:colOff>
      <xdr:row>47</xdr:row>
      <xdr:rowOff>32142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5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A8F838D1-74C9-E831-20F6-C515C739A03E}"/>
                </a:ext>
                <a:ext uri="{147F2762-F138-4A5C-976F-8EAC2B608ADB}">
                  <a16:predDERef xmlns:a16="http://schemas.microsoft.com/office/drawing/2014/main" pred="{034411B4-4D8A-BF1B-2742-55545152220F}"/>
                </a:ext>
              </a:extLst>
            </xdr14:cNvPr>
            <xdr14:cNvContentPartPr/>
          </xdr14:nvContentPartPr>
          <xdr14:nvPr macro=""/>
          <xdr14:xfrm>
            <a:off x="5906075" y="9723498"/>
            <a:ext cx="10080" cy="140902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A8F838D1-74C9-E831-20F6-C515C739A03E}"/>
                </a:ext>
                <a:ext uri="{147F2762-F138-4A5C-976F-8EAC2B608ADB}">
                  <a16:predDERef xmlns:a16="http://schemas.microsoft.com/office/drawing/2014/main" pred="{034411B4-4D8A-BF1B-2742-55545152220F}"/>
                </a:ext>
              </a:extLst>
            </xdr:cNvPr>
            <xdr:cNvPicPr/>
          </xdr:nvPicPr>
          <xdr:blipFill>
            <a:blip xmlns:r="http://schemas.openxmlformats.org/officeDocument/2006/relationships" r:embed="rId646"/>
            <a:stretch>
              <a:fillRect/>
            </a:stretch>
          </xdr:blipFill>
          <xdr:spPr>
            <a:xfrm>
              <a:off x="5553360" y="6707880"/>
              <a:ext cx="3132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266711</xdr:colOff>
      <xdr:row>44</xdr:row>
      <xdr:rowOff>105512</xdr:rowOff>
    </xdr:from>
    <xdr:to>
      <xdr:col>8</xdr:col>
      <xdr:colOff>289391</xdr:colOff>
      <xdr:row>45</xdr:row>
      <xdr:rowOff>16015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7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C1AA7347-9A4F-304A-8EEE-2C3876E998C2}"/>
                </a:ext>
                <a:ext uri="{147F2762-F138-4A5C-976F-8EAC2B608ADB}">
                  <a16:predDERef xmlns:a16="http://schemas.microsoft.com/office/drawing/2014/main" pred="{A8F838D1-74C9-E831-20F6-C515C739A03E}"/>
                </a:ext>
              </a:extLst>
            </xdr14:cNvPr>
            <xdr14:cNvContentPartPr/>
          </xdr14:nvContentPartPr>
          <xdr14:nvPr macro=""/>
          <xdr14:xfrm>
            <a:off x="6002195" y="9323254"/>
            <a:ext cx="22680" cy="115342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C1AA7347-9A4F-304A-8EEE-2C3876E998C2}"/>
                </a:ext>
                <a:ext uri="{147F2762-F138-4A5C-976F-8EAC2B608ADB}">
                  <a16:predDERef xmlns:a16="http://schemas.microsoft.com/office/drawing/2014/main" pred="{A8F838D1-74C9-E831-20F6-C515C739A03E}"/>
                </a:ext>
              </a:extLst>
            </xdr:cNvPr>
            <xdr:cNvPicPr/>
          </xdr:nvPicPr>
          <xdr:blipFill>
            <a:blip xmlns:r="http://schemas.openxmlformats.org/officeDocument/2006/relationships" r:embed="rId648"/>
            <a:stretch>
              <a:fillRect/>
            </a:stretch>
          </xdr:blipFill>
          <xdr:spPr>
            <a:xfrm>
              <a:off x="5649840" y="6339240"/>
              <a:ext cx="4392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10869</xdr:colOff>
      <xdr:row>48</xdr:row>
      <xdr:rowOff>168757</xdr:rowOff>
    </xdr:from>
    <xdr:to>
      <xdr:col>5</xdr:col>
      <xdr:colOff>28149</xdr:colOff>
      <xdr:row>49</xdr:row>
      <xdr:rowOff>75788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9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4A9431DF-828A-5F18-8290-6D21F6E4F1FF}"/>
                </a:ext>
                <a:ext uri="{147F2762-F138-4A5C-976F-8EAC2B608ADB}">
                  <a16:predDERef xmlns:a16="http://schemas.microsoft.com/office/drawing/2014/main" pred="{C1AA7347-9A4F-304A-8EEE-2C3876E998C2}"/>
                </a:ext>
              </a:extLst>
            </xdr14:cNvPr>
            <xdr14:cNvContentPartPr/>
          </xdr14:nvContentPartPr>
          <xdr14:nvPr macro=""/>
          <xdr14:xfrm>
            <a:off x="3697966" y="10205854"/>
            <a:ext cx="17280" cy="111869"/>
          </xdr14:xfrm>
        </xdr:contentPart>
      </mc:Choice>
      <mc:Fallback xmlns=""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4A9431DF-828A-5F18-8290-6D21F6E4F1FF}"/>
                </a:ext>
                <a:ext uri="{147F2762-F138-4A5C-976F-8EAC2B608ADB}">
                  <a16:predDERef xmlns:a16="http://schemas.microsoft.com/office/drawing/2014/main" pred="{C1AA7347-9A4F-304A-8EEE-2C3876E998C2}"/>
                </a:ext>
              </a:extLst>
            </xdr:cNvPr>
            <xdr:cNvPicPr/>
          </xdr:nvPicPr>
          <xdr:blipFill>
            <a:blip xmlns:r="http://schemas.openxmlformats.org/officeDocument/2006/relationships" r:embed="rId650"/>
            <a:stretch>
              <a:fillRect/>
            </a:stretch>
          </xdr:blipFill>
          <xdr:spPr>
            <a:xfrm>
              <a:off x="3478680" y="7181280"/>
              <a:ext cx="38520" cy="11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660161</xdr:colOff>
      <xdr:row>48</xdr:row>
      <xdr:rowOff>186037</xdr:rowOff>
    </xdr:from>
    <xdr:to>
      <xdr:col>5</xdr:col>
      <xdr:colOff>86829</xdr:colOff>
      <xdr:row>49</xdr:row>
      <xdr:rowOff>24308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1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B5030030-F4C9-6ED3-8821-9325A5981D06}"/>
                </a:ext>
                <a:ext uri="{147F2762-F138-4A5C-976F-8EAC2B608ADB}">
                  <a16:predDERef xmlns:a16="http://schemas.microsoft.com/office/drawing/2014/main" pred="{4A9431DF-828A-5F18-8290-6D21F6E4F1FF}"/>
                </a:ext>
              </a:extLst>
            </xdr14:cNvPr>
            <xdr14:cNvContentPartPr/>
          </xdr14:nvContentPartPr>
          <xdr14:nvPr macro=""/>
          <xdr14:xfrm>
            <a:off x="3650806" y="10223134"/>
            <a:ext cx="123120" cy="43109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B5030030-F4C9-6ED3-8821-9325A5981D06}"/>
                </a:ext>
                <a:ext uri="{147F2762-F138-4A5C-976F-8EAC2B608ADB}">
                  <a16:predDERef xmlns:a16="http://schemas.microsoft.com/office/drawing/2014/main" pred="{4A9431DF-828A-5F18-8290-6D21F6E4F1FF}"/>
                </a:ext>
              </a:extLst>
            </xdr:cNvPr>
            <xdr:cNvPicPr/>
          </xdr:nvPicPr>
          <xdr:blipFill>
            <a:blip xmlns:r="http://schemas.openxmlformats.org/officeDocument/2006/relationships" r:embed="rId652"/>
            <a:stretch>
              <a:fillRect/>
            </a:stretch>
          </xdr:blipFill>
          <xdr:spPr>
            <a:xfrm>
              <a:off x="3431520" y="7198560"/>
              <a:ext cx="14436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131469</xdr:colOff>
      <xdr:row>48</xdr:row>
      <xdr:rowOff>117277</xdr:rowOff>
    </xdr:from>
    <xdr:to>
      <xdr:col>5</xdr:col>
      <xdr:colOff>228309</xdr:colOff>
      <xdr:row>49</xdr:row>
      <xdr:rowOff>103508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3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76CE6879-939B-CEE5-3969-A9F72923A545}"/>
                </a:ext>
                <a:ext uri="{147F2762-F138-4A5C-976F-8EAC2B608ADB}">
                  <a16:predDERef xmlns:a16="http://schemas.microsoft.com/office/drawing/2014/main" pred="{B5030030-F4C9-6ED3-8821-9325A5981D06}"/>
                </a:ext>
              </a:extLst>
            </xdr14:cNvPr>
            <xdr14:cNvContentPartPr/>
          </xdr14:nvContentPartPr>
          <xdr14:nvPr macro=""/>
          <xdr14:xfrm>
            <a:off x="3818566" y="10154374"/>
            <a:ext cx="96840" cy="191069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76CE6879-939B-CEE5-3969-A9F72923A545}"/>
                </a:ext>
                <a:ext uri="{147F2762-F138-4A5C-976F-8EAC2B608ADB}">
                  <a16:predDERef xmlns:a16="http://schemas.microsoft.com/office/drawing/2014/main" pred="{B5030030-F4C9-6ED3-8821-9325A5981D06}"/>
                </a:ext>
              </a:extLst>
            </xdr:cNvPr>
            <xdr:cNvPicPr/>
          </xdr:nvPicPr>
          <xdr:blipFill>
            <a:blip xmlns:r="http://schemas.openxmlformats.org/officeDocument/2006/relationships" r:embed="rId654"/>
            <a:stretch>
              <a:fillRect/>
            </a:stretch>
          </xdr:blipFill>
          <xdr:spPr>
            <a:xfrm>
              <a:off x="3598920" y="7129440"/>
              <a:ext cx="11808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200589</xdr:colOff>
      <xdr:row>49</xdr:row>
      <xdr:rowOff>27548</xdr:rowOff>
    </xdr:from>
    <xdr:to>
      <xdr:col>5</xdr:col>
      <xdr:colOff>280149</xdr:colOff>
      <xdr:row>49</xdr:row>
      <xdr:rowOff>165428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5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ED13FF68-926C-7031-D51E-BE0516FBFCBF}"/>
                </a:ext>
                <a:ext uri="{147F2762-F138-4A5C-976F-8EAC2B608ADB}">
                  <a16:predDERef xmlns:a16="http://schemas.microsoft.com/office/drawing/2014/main" pred="{76CE6879-939B-CEE5-3969-A9F72923A545}"/>
                </a:ext>
              </a:extLst>
            </xdr14:cNvPr>
            <xdr14:cNvContentPartPr/>
          </xdr14:nvContentPartPr>
          <xdr14:nvPr macro=""/>
          <xdr14:xfrm>
            <a:off x="3887686" y="10269483"/>
            <a:ext cx="79560" cy="137880"/>
          </xdr14:xfrm>
        </xdr:contentPart>
      </mc:Choice>
      <mc:Fallback xmlns=""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ED13FF68-926C-7031-D51E-BE0516FBFCBF}"/>
                </a:ext>
                <a:ext uri="{147F2762-F138-4A5C-976F-8EAC2B608ADB}">
                  <a16:predDERef xmlns:a16="http://schemas.microsoft.com/office/drawing/2014/main" pred="{76CE6879-939B-CEE5-3969-A9F72923A545}"/>
                </a:ext>
              </a:extLst>
            </xdr:cNvPr>
            <xdr:cNvPicPr/>
          </xdr:nvPicPr>
          <xdr:blipFill>
            <a:blip xmlns:r="http://schemas.openxmlformats.org/officeDocument/2006/relationships" r:embed="rId656"/>
            <a:stretch>
              <a:fillRect/>
            </a:stretch>
          </xdr:blipFill>
          <xdr:spPr>
            <a:xfrm>
              <a:off x="3668040" y="7229520"/>
              <a:ext cx="1008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271147</xdr:colOff>
      <xdr:row>49</xdr:row>
      <xdr:rowOff>120788</xdr:rowOff>
    </xdr:from>
    <xdr:to>
      <xdr:col>5</xdr:col>
      <xdr:colOff>211389</xdr:colOff>
      <xdr:row>50</xdr:row>
      <xdr:rowOff>7298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7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4664D4F2-4652-30D1-61C2-E4E4701358E6}"/>
                </a:ext>
                <a:ext uri="{147F2762-F138-4A5C-976F-8EAC2B608ADB}">
                  <a16:predDERef xmlns:a16="http://schemas.microsoft.com/office/drawing/2014/main" pred="{ED13FF68-926C-7031-D51E-BE0516FBFCBF}"/>
                </a:ext>
              </a:extLst>
            </xdr14:cNvPr>
            <xdr14:cNvContentPartPr/>
          </xdr14:nvContentPartPr>
          <xdr14:nvPr macro=""/>
          <xdr14:xfrm>
            <a:off x="3261792" y="10362723"/>
            <a:ext cx="636694" cy="91349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4664D4F2-4652-30D1-61C2-E4E4701358E6}"/>
                </a:ext>
                <a:ext uri="{147F2762-F138-4A5C-976F-8EAC2B608ADB}">
                  <a16:predDERef xmlns:a16="http://schemas.microsoft.com/office/drawing/2014/main" pred="{ED13FF68-926C-7031-D51E-BE0516FBFCBF}"/>
                </a:ext>
              </a:extLst>
            </xdr:cNvPr>
            <xdr:cNvPicPr/>
          </xdr:nvPicPr>
          <xdr:blipFill>
            <a:blip xmlns:r="http://schemas.openxmlformats.org/officeDocument/2006/relationships" r:embed="rId658"/>
            <a:stretch>
              <a:fillRect/>
            </a:stretch>
          </xdr:blipFill>
          <xdr:spPr>
            <a:xfrm>
              <a:off x="3079440" y="7322760"/>
              <a:ext cx="62064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566347</xdr:colOff>
      <xdr:row>50</xdr:row>
      <xdr:rowOff>27818</xdr:rowOff>
    </xdr:from>
    <xdr:to>
      <xdr:col>5</xdr:col>
      <xdr:colOff>21309</xdr:colOff>
      <xdr:row>51</xdr:row>
      <xdr:rowOff>31328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9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E113F4C7-A109-E6EC-7369-201A3404CF6D}"/>
                </a:ext>
                <a:ext uri="{147F2762-F138-4A5C-976F-8EAC2B608ADB}">
                  <a16:predDERef xmlns:a16="http://schemas.microsoft.com/office/drawing/2014/main" pred="{4664D4F2-4652-30D1-61C2-E4E4701358E6}"/>
                </a:ext>
              </a:extLst>
            </xdr14:cNvPr>
            <xdr14:cNvContentPartPr/>
          </xdr14:nvContentPartPr>
          <xdr14:nvPr macro=""/>
          <xdr14:xfrm>
            <a:off x="3556992" y="10474592"/>
            <a:ext cx="151414" cy="208349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E113F4C7-A109-E6EC-7369-201A3404CF6D}"/>
                </a:ext>
                <a:ext uri="{147F2762-F138-4A5C-976F-8EAC2B608ADB}">
                  <a16:predDERef xmlns:a16="http://schemas.microsoft.com/office/drawing/2014/main" pred="{4664D4F2-4652-30D1-61C2-E4E4701358E6}"/>
                </a:ext>
              </a:extLst>
            </xdr:cNvPr>
            <xdr:cNvPicPr/>
          </xdr:nvPicPr>
          <xdr:blipFill>
            <a:blip xmlns:r="http://schemas.openxmlformats.org/officeDocument/2006/relationships" r:embed="rId660"/>
            <a:stretch>
              <a:fillRect/>
            </a:stretch>
          </xdr:blipFill>
          <xdr:spPr>
            <a:xfrm>
              <a:off x="3374640" y="7419600"/>
              <a:ext cx="135360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59109</xdr:colOff>
      <xdr:row>50</xdr:row>
      <xdr:rowOff>106658</xdr:rowOff>
    </xdr:from>
    <xdr:to>
      <xdr:col>5</xdr:col>
      <xdr:colOff>124989</xdr:colOff>
      <xdr:row>51</xdr:row>
      <xdr:rowOff>29528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1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7F1F945F-81DE-D81C-7295-DC9818BD0515}"/>
                </a:ext>
                <a:ext uri="{147F2762-F138-4A5C-976F-8EAC2B608ADB}">
                  <a16:predDERef xmlns:a16="http://schemas.microsoft.com/office/drawing/2014/main" pred="{E113F4C7-A109-E6EC-7369-201A3404CF6D}"/>
                </a:ext>
              </a:extLst>
            </xdr14:cNvPr>
            <xdr14:cNvContentPartPr/>
          </xdr14:nvContentPartPr>
          <xdr14:nvPr macro=""/>
          <xdr14:xfrm>
            <a:off x="3746206" y="10553432"/>
            <a:ext cx="65880" cy="127709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7F1F945F-81DE-D81C-7295-DC9818BD0515}"/>
                </a:ext>
                <a:ext uri="{147F2762-F138-4A5C-976F-8EAC2B608ADB}">
                  <a16:predDERef xmlns:a16="http://schemas.microsoft.com/office/drawing/2014/main" pred="{E113F4C7-A109-E6EC-7369-201A3404CF6D}"/>
                </a:ext>
              </a:extLst>
            </xdr:cNvPr>
            <xdr:cNvPicPr/>
          </xdr:nvPicPr>
          <xdr:blipFill>
            <a:blip xmlns:r="http://schemas.openxmlformats.org/officeDocument/2006/relationships" r:embed="rId662"/>
            <a:stretch>
              <a:fillRect/>
            </a:stretch>
          </xdr:blipFill>
          <xdr:spPr>
            <a:xfrm>
              <a:off x="3526560" y="7498800"/>
              <a:ext cx="8712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248829</xdr:colOff>
      <xdr:row>48</xdr:row>
      <xdr:rowOff>158677</xdr:rowOff>
    </xdr:from>
    <xdr:to>
      <xdr:col>5</xdr:col>
      <xdr:colOff>404349</xdr:colOff>
      <xdr:row>50</xdr:row>
      <xdr:rowOff>172898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3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5D95DDF5-111C-1737-9484-E85390620BC2}"/>
                </a:ext>
                <a:ext uri="{147F2762-F138-4A5C-976F-8EAC2B608ADB}">
                  <a16:predDERef xmlns:a16="http://schemas.microsoft.com/office/drawing/2014/main" pred="{7F1F945F-81DE-D81C-7295-DC9818BD0515}"/>
                </a:ext>
              </a:extLst>
            </xdr14:cNvPr>
            <xdr14:cNvContentPartPr/>
          </xdr14:nvContentPartPr>
          <xdr14:nvPr macro=""/>
          <xdr14:xfrm>
            <a:off x="3935926" y="10195774"/>
            <a:ext cx="155520" cy="423898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5D95DDF5-111C-1737-9484-E85390620BC2}"/>
                </a:ext>
                <a:ext uri="{147F2762-F138-4A5C-976F-8EAC2B608ADB}">
                  <a16:predDERef xmlns:a16="http://schemas.microsoft.com/office/drawing/2014/main" pred="{7F1F945F-81DE-D81C-7295-DC9818BD0515}"/>
                </a:ext>
              </a:extLst>
            </xdr:cNvPr>
            <xdr:cNvPicPr/>
          </xdr:nvPicPr>
          <xdr:blipFill>
            <a:blip xmlns:r="http://schemas.openxmlformats.org/officeDocument/2006/relationships" r:embed="rId664"/>
            <a:stretch>
              <a:fillRect/>
            </a:stretch>
          </xdr:blipFill>
          <xdr:spPr>
            <a:xfrm>
              <a:off x="3716280" y="7170840"/>
              <a:ext cx="176760" cy="41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186907</xdr:colOff>
      <xdr:row>48</xdr:row>
      <xdr:rowOff>120517</xdr:rowOff>
    </xdr:from>
    <xdr:to>
      <xdr:col>4</xdr:col>
      <xdr:colOff>342067</xdr:colOff>
      <xdr:row>51</xdr:row>
      <xdr:rowOff>29528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5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2B9A2A44-A616-9EFA-6F8C-8A7CFC74D647}"/>
                </a:ext>
                <a:ext uri="{147F2762-F138-4A5C-976F-8EAC2B608ADB}">
                  <a16:predDERef xmlns:a16="http://schemas.microsoft.com/office/drawing/2014/main" pred="{5D95DDF5-111C-1737-9484-E85390620BC2}"/>
                </a:ext>
              </a:extLst>
            </xdr14:cNvPr>
            <xdr14:cNvContentPartPr/>
          </xdr14:nvContentPartPr>
          <xdr14:nvPr macro=""/>
          <xdr14:xfrm>
            <a:off x="3177552" y="10157614"/>
            <a:ext cx="155160" cy="523527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2B9A2A44-A616-9EFA-6F8C-8A7CFC74D647}"/>
                </a:ext>
                <a:ext uri="{147F2762-F138-4A5C-976F-8EAC2B608ADB}">
                  <a16:predDERef xmlns:a16="http://schemas.microsoft.com/office/drawing/2014/main" pred="{5D95DDF5-111C-1737-9484-E85390620BC2}"/>
                </a:ext>
              </a:extLst>
            </xdr:cNvPr>
            <xdr:cNvPicPr/>
          </xdr:nvPicPr>
          <xdr:blipFill>
            <a:blip xmlns:r="http://schemas.openxmlformats.org/officeDocument/2006/relationships" r:embed="rId666"/>
            <a:stretch>
              <a:fillRect/>
            </a:stretch>
          </xdr:blipFill>
          <xdr:spPr>
            <a:xfrm>
              <a:off x="2995560" y="7133040"/>
              <a:ext cx="176400" cy="49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486789</xdr:colOff>
      <xdr:row>48</xdr:row>
      <xdr:rowOff>20437</xdr:rowOff>
    </xdr:from>
    <xdr:to>
      <xdr:col>5</xdr:col>
      <xdr:colOff>590171</xdr:colOff>
      <xdr:row>48</xdr:row>
      <xdr:rowOff>124477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7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E869841D-D95D-1788-CB22-472487F3F2E7}"/>
                </a:ext>
                <a:ext uri="{147F2762-F138-4A5C-976F-8EAC2B608ADB}">
                  <a16:predDERef xmlns:a16="http://schemas.microsoft.com/office/drawing/2014/main" pred="{2B9A2A44-A616-9EFA-6F8C-8A7CFC74D647}"/>
                </a:ext>
              </a:extLst>
            </xdr14:cNvPr>
            <xdr14:cNvContentPartPr/>
          </xdr14:nvContentPartPr>
          <xdr14:nvPr macro=""/>
          <xdr14:xfrm>
            <a:off x="4173886" y="10057534"/>
            <a:ext cx="141482" cy="1040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E869841D-D95D-1788-CB22-472487F3F2E7}"/>
                </a:ext>
                <a:ext uri="{147F2762-F138-4A5C-976F-8EAC2B608ADB}">
                  <a16:predDERef xmlns:a16="http://schemas.microsoft.com/office/drawing/2014/main" pred="{2B9A2A44-A616-9EFA-6F8C-8A7CFC74D647}"/>
                </a:ext>
              </a:extLst>
            </xdr:cNvPr>
            <xdr:cNvPicPr/>
          </xdr:nvPicPr>
          <xdr:blipFill>
            <a:blip xmlns:r="http://schemas.openxmlformats.org/officeDocument/2006/relationships" r:embed="rId668"/>
            <a:stretch>
              <a:fillRect/>
            </a:stretch>
          </xdr:blipFill>
          <xdr:spPr>
            <a:xfrm>
              <a:off x="3954600" y="7032960"/>
              <a:ext cx="11808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60896</xdr:colOff>
      <xdr:row>47</xdr:row>
      <xdr:rowOff>125625</xdr:rowOff>
    </xdr:from>
    <xdr:to>
      <xdr:col>6</xdr:col>
      <xdr:colOff>196976</xdr:colOff>
      <xdr:row>51</xdr:row>
      <xdr:rowOff>146182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9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33316AC8-B03C-6579-8296-E1B50269C2B6}"/>
                </a:ext>
                <a:ext uri="{147F2762-F138-4A5C-976F-8EAC2B608ADB}">
                  <a16:predDERef xmlns:a16="http://schemas.microsoft.com/office/drawing/2014/main" pred="{E869841D-D95D-1788-CB22-472487F3F2E7}"/>
                </a:ext>
              </a:extLst>
            </xdr14:cNvPr>
            <xdr14:cNvContentPartPr/>
          </xdr14:nvContentPartPr>
          <xdr14:nvPr macro=""/>
          <xdr14:xfrm>
            <a:off x="4403477" y="9957883"/>
            <a:ext cx="136080" cy="839912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33316AC8-B03C-6579-8296-E1B50269C2B6}"/>
                </a:ext>
                <a:ext uri="{147F2762-F138-4A5C-976F-8EAC2B608ADB}">
                  <a16:predDERef xmlns:a16="http://schemas.microsoft.com/office/drawing/2014/main" pred="{E869841D-D95D-1788-CB22-472487F3F2E7}"/>
                </a:ext>
              </a:extLst>
            </xdr:cNvPr>
            <xdr:cNvPicPr/>
          </xdr:nvPicPr>
          <xdr:blipFill>
            <a:blip xmlns:r="http://schemas.openxmlformats.org/officeDocument/2006/relationships" r:embed="rId670"/>
            <a:stretch>
              <a:fillRect/>
            </a:stretch>
          </xdr:blipFill>
          <xdr:spPr>
            <a:xfrm>
              <a:off x="4142160" y="6960600"/>
              <a:ext cx="157320" cy="80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382287</xdr:colOff>
      <xdr:row>48</xdr:row>
      <xdr:rowOff>114205</xdr:rowOff>
    </xdr:from>
    <xdr:to>
      <xdr:col>6</xdr:col>
      <xdr:colOff>496767</xdr:colOff>
      <xdr:row>49</xdr:row>
      <xdr:rowOff>17018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1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F6A417C0-C84B-9A74-302F-75F25CA1546A}"/>
                </a:ext>
                <a:ext uri="{147F2762-F138-4A5C-976F-8EAC2B608ADB}">
                  <a16:predDERef xmlns:a16="http://schemas.microsoft.com/office/drawing/2014/main" pred="{33316AC8-B03C-6579-8296-E1B50269C2B6}"/>
                </a:ext>
              </a:extLst>
            </xdr14:cNvPr>
            <xdr14:cNvContentPartPr/>
          </xdr14:nvContentPartPr>
          <xdr14:nvPr macro=""/>
          <xdr14:xfrm>
            <a:off x="4724868" y="10151302"/>
            <a:ext cx="114480" cy="107651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F6A417C0-C84B-9A74-302F-75F25CA1546A}"/>
                </a:ext>
                <a:ext uri="{147F2762-F138-4A5C-976F-8EAC2B608ADB}">
                  <a16:predDERef xmlns:a16="http://schemas.microsoft.com/office/drawing/2014/main" pred="{33316AC8-B03C-6579-8296-E1B50269C2B6}"/>
                </a:ext>
              </a:extLst>
            </xdr:cNvPr>
            <xdr:cNvPicPr/>
          </xdr:nvPicPr>
          <xdr:blipFill>
            <a:blip xmlns:r="http://schemas.openxmlformats.org/officeDocument/2006/relationships" r:embed="rId672"/>
            <a:stretch>
              <a:fillRect/>
            </a:stretch>
          </xdr:blipFill>
          <xdr:spPr>
            <a:xfrm>
              <a:off x="4454280" y="7189200"/>
              <a:ext cx="13572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590367</xdr:colOff>
      <xdr:row>48</xdr:row>
      <xdr:rowOff>40045</xdr:rowOff>
    </xdr:from>
    <xdr:to>
      <xdr:col>7</xdr:col>
      <xdr:colOff>1535</xdr:colOff>
      <xdr:row>49</xdr:row>
      <xdr:rowOff>43658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3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EDEA9A99-EF97-ABC2-0FE2-950EE9AEE34F}"/>
                </a:ext>
                <a:ext uri="{147F2762-F138-4A5C-976F-8EAC2B608ADB}">
                  <a16:predDERef xmlns:a16="http://schemas.microsoft.com/office/drawing/2014/main" pred="{F6A417C0-C84B-9A74-302F-75F25CA1546A}"/>
                </a:ext>
              </a:extLst>
            </xdr14:cNvPr>
            <xdr14:cNvContentPartPr/>
          </xdr14:nvContentPartPr>
          <xdr14:nvPr macro=""/>
          <xdr14:xfrm>
            <a:off x="4932948" y="10077142"/>
            <a:ext cx="102011" cy="208451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EDEA9A99-EF97-ABC2-0FE2-950EE9AEE34F}"/>
                </a:ext>
                <a:ext uri="{147F2762-F138-4A5C-976F-8EAC2B608ADB}">
                  <a16:predDERef xmlns:a16="http://schemas.microsoft.com/office/drawing/2014/main" pred="{F6A417C0-C84B-9A74-302F-75F25CA1546A}"/>
                </a:ext>
              </a:extLst>
            </xdr:cNvPr>
            <xdr:cNvPicPr/>
          </xdr:nvPicPr>
          <xdr:blipFill>
            <a:blip xmlns:r="http://schemas.openxmlformats.org/officeDocument/2006/relationships" r:embed="rId674"/>
            <a:stretch>
              <a:fillRect/>
            </a:stretch>
          </xdr:blipFill>
          <xdr:spPr>
            <a:xfrm>
              <a:off x="4662720" y="7115400"/>
              <a:ext cx="7524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16087</xdr:colOff>
      <xdr:row>48</xdr:row>
      <xdr:rowOff>147685</xdr:rowOff>
    </xdr:from>
    <xdr:to>
      <xdr:col>7</xdr:col>
      <xdr:colOff>63607</xdr:colOff>
      <xdr:row>49</xdr:row>
      <xdr:rowOff>89378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5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0D7882EC-FFE1-512B-06DF-25E3A4F9738E}"/>
                </a:ext>
                <a:ext uri="{147F2762-F138-4A5C-976F-8EAC2B608ADB}">
                  <a16:predDERef xmlns:a16="http://schemas.microsoft.com/office/drawing/2014/main" pred="{EDEA9A99-EF97-ABC2-0FE2-950EE9AEE34F}"/>
                </a:ext>
              </a:extLst>
            </xdr14:cNvPr>
            <xdr14:cNvContentPartPr/>
          </xdr14:nvContentPartPr>
          <xdr14:nvPr macro=""/>
          <xdr14:xfrm>
            <a:off x="5055119" y="10184782"/>
            <a:ext cx="47520" cy="146531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0D7882EC-FFE1-512B-06DF-25E3A4F9738E}"/>
                </a:ext>
                <a:ext uri="{147F2762-F138-4A5C-976F-8EAC2B608ADB}">
                  <a16:predDERef xmlns:a16="http://schemas.microsoft.com/office/drawing/2014/main" pred="{EDEA9A99-EF97-ABC2-0FE2-950EE9AEE34F}"/>
                </a:ext>
              </a:extLst>
            </xdr:cNvPr>
            <xdr:cNvPicPr/>
          </xdr:nvPicPr>
          <xdr:blipFill>
            <a:blip xmlns:r="http://schemas.openxmlformats.org/officeDocument/2006/relationships" r:embed="rId676"/>
            <a:stretch>
              <a:fillRect/>
            </a:stretch>
          </xdr:blipFill>
          <xdr:spPr>
            <a:xfrm>
              <a:off x="4736520" y="7222680"/>
              <a:ext cx="687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665378</xdr:colOff>
      <xdr:row>48</xdr:row>
      <xdr:rowOff>130765</xdr:rowOff>
    </xdr:from>
    <xdr:to>
      <xdr:col>7</xdr:col>
      <xdr:colOff>16447</xdr:colOff>
      <xdr:row>49</xdr:row>
      <xdr:rowOff>3338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7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270F0D48-B1A3-D8B5-238D-216C60121CA6}"/>
                </a:ext>
                <a:ext uri="{147F2762-F138-4A5C-976F-8EAC2B608ADB}">
                  <a16:predDERef xmlns:a16="http://schemas.microsoft.com/office/drawing/2014/main" pred="{0D7882EC-FFE1-512B-06DF-25E3A4F9738E}"/>
                </a:ext>
              </a:extLst>
            </xdr14:cNvPr>
            <xdr14:cNvContentPartPr/>
          </xdr14:nvContentPartPr>
          <xdr14:nvPr macro=""/>
          <xdr14:xfrm>
            <a:off x="5007959" y="10167862"/>
            <a:ext cx="47520" cy="77411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270F0D48-B1A3-D8B5-238D-216C60121CA6}"/>
                </a:ext>
                <a:ext uri="{147F2762-F138-4A5C-976F-8EAC2B608ADB}">
                  <a16:predDERef xmlns:a16="http://schemas.microsoft.com/office/drawing/2014/main" pred="{0D7882EC-FFE1-512B-06DF-25E3A4F9738E}"/>
                </a:ext>
              </a:extLst>
            </xdr:cNvPr>
            <xdr:cNvPicPr/>
          </xdr:nvPicPr>
          <xdr:blipFill>
            <a:blip xmlns:r="http://schemas.openxmlformats.org/officeDocument/2006/relationships" r:embed="rId678"/>
            <a:stretch>
              <a:fillRect/>
            </a:stretch>
          </xdr:blipFill>
          <xdr:spPr>
            <a:xfrm>
              <a:off x="4689720" y="7206120"/>
              <a:ext cx="687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345207</xdr:colOff>
      <xdr:row>49</xdr:row>
      <xdr:rowOff>107378</xdr:rowOff>
    </xdr:from>
    <xdr:to>
      <xdr:col>7</xdr:col>
      <xdr:colOff>63607</xdr:colOff>
      <xdr:row>49</xdr:row>
      <xdr:rowOff>137978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9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330C5422-3D38-0407-23BD-2FC937F82404}"/>
                </a:ext>
                <a:ext uri="{147F2762-F138-4A5C-976F-8EAC2B608ADB}">
                  <a16:predDERef xmlns:a16="http://schemas.microsoft.com/office/drawing/2014/main" pred="{270F0D48-B1A3-D8B5-238D-216C60121CA6}"/>
                </a:ext>
              </a:extLst>
            </xdr14:cNvPr>
            <xdr14:cNvContentPartPr/>
          </xdr14:nvContentPartPr>
          <xdr14:nvPr macro=""/>
          <xdr14:xfrm>
            <a:off x="4687788" y="10349313"/>
            <a:ext cx="414851" cy="3060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330C5422-3D38-0407-23BD-2FC937F82404}"/>
                </a:ext>
                <a:ext uri="{147F2762-F138-4A5C-976F-8EAC2B608ADB}">
                  <a16:predDERef xmlns:a16="http://schemas.microsoft.com/office/drawing/2014/main" pred="{270F0D48-B1A3-D8B5-238D-216C60121CA6}"/>
                </a:ext>
              </a:extLst>
            </xdr:cNvPr>
            <xdr:cNvPicPr/>
          </xdr:nvPicPr>
          <xdr:blipFill>
            <a:blip xmlns:r="http://schemas.openxmlformats.org/officeDocument/2006/relationships" r:embed="rId680"/>
            <a:stretch>
              <a:fillRect/>
            </a:stretch>
          </xdr:blipFill>
          <xdr:spPr>
            <a:xfrm>
              <a:off x="4417560" y="7373880"/>
              <a:ext cx="38808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473007</xdr:colOff>
      <xdr:row>49</xdr:row>
      <xdr:rowOff>175058</xdr:rowOff>
    </xdr:from>
    <xdr:to>
      <xdr:col>6</xdr:col>
      <xdr:colOff>584247</xdr:colOff>
      <xdr:row>51</xdr:row>
      <xdr:rowOff>2282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1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1A2AF160-A082-5AF4-C8EC-EE748B0B69D8}"/>
                </a:ext>
                <a:ext uri="{147F2762-F138-4A5C-976F-8EAC2B608ADB}">
                  <a16:predDERef xmlns:a16="http://schemas.microsoft.com/office/drawing/2014/main" pred="{330C5422-3D38-0407-23BD-2FC937F82404}"/>
                </a:ext>
              </a:extLst>
            </xdr14:cNvPr>
            <xdr14:cNvContentPartPr/>
          </xdr14:nvContentPartPr>
          <xdr14:nvPr macro=""/>
          <xdr14:xfrm>
            <a:off x="4815588" y="10416993"/>
            <a:ext cx="111240" cy="236902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1A2AF160-A082-5AF4-C8EC-EE748B0B69D8}"/>
                </a:ext>
                <a:ext uri="{147F2762-F138-4A5C-976F-8EAC2B608ADB}">
                  <a16:predDERef xmlns:a16="http://schemas.microsoft.com/office/drawing/2014/main" pred="{330C5422-3D38-0407-23BD-2FC937F82404}"/>
                </a:ext>
              </a:extLst>
            </xdr:cNvPr>
            <xdr:cNvPicPr/>
          </xdr:nvPicPr>
          <xdr:blipFill>
            <a:blip xmlns:r="http://schemas.openxmlformats.org/officeDocument/2006/relationships" r:embed="rId682"/>
            <a:stretch>
              <a:fillRect/>
            </a:stretch>
          </xdr:blipFill>
          <xdr:spPr>
            <a:xfrm>
              <a:off x="4545000" y="7441560"/>
              <a:ext cx="132480" cy="23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658538</xdr:colOff>
      <xdr:row>50</xdr:row>
      <xdr:rowOff>67430</xdr:rowOff>
    </xdr:from>
    <xdr:to>
      <xdr:col>7</xdr:col>
      <xdr:colOff>22927</xdr:colOff>
      <xdr:row>50</xdr:row>
      <xdr:rowOff>177950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3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B6664C5B-EEEE-2835-F296-3E2B45A16B33}"/>
                </a:ext>
                <a:ext uri="{147F2762-F138-4A5C-976F-8EAC2B608ADB}">
                  <a16:predDERef xmlns:a16="http://schemas.microsoft.com/office/drawing/2014/main" pred="{1A2AF160-A082-5AF4-C8EC-EE748B0B69D8}"/>
                </a:ext>
              </a:extLst>
            </xdr14:cNvPr>
            <xdr14:cNvContentPartPr/>
          </xdr14:nvContentPartPr>
          <xdr14:nvPr macro=""/>
          <xdr14:xfrm>
            <a:off x="5001119" y="10514204"/>
            <a:ext cx="60840" cy="11052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B6664C5B-EEEE-2835-F296-3E2B45A16B33}"/>
                </a:ext>
                <a:ext uri="{147F2762-F138-4A5C-976F-8EAC2B608ADB}">
                  <a16:predDERef xmlns:a16="http://schemas.microsoft.com/office/drawing/2014/main" pred="{1A2AF160-A082-5AF4-C8EC-EE748B0B69D8}"/>
                </a:ext>
              </a:extLst>
            </xdr:cNvPr>
            <xdr:cNvPicPr/>
          </xdr:nvPicPr>
          <xdr:blipFill>
            <a:blip xmlns:r="http://schemas.openxmlformats.org/officeDocument/2006/relationships" r:embed="rId684"/>
            <a:stretch>
              <a:fillRect/>
            </a:stretch>
          </xdr:blipFill>
          <xdr:spPr>
            <a:xfrm>
              <a:off x="4682880" y="7525440"/>
              <a:ext cx="8208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279327</xdr:colOff>
      <xdr:row>48</xdr:row>
      <xdr:rowOff>77125</xdr:rowOff>
    </xdr:from>
    <xdr:to>
      <xdr:col>6</xdr:col>
      <xdr:colOff>460047</xdr:colOff>
      <xdr:row>50</xdr:row>
      <xdr:rowOff>119630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5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853B0E78-E0B8-B61B-A8F0-98757D67D2CF}"/>
                </a:ext>
                <a:ext uri="{147F2762-F138-4A5C-976F-8EAC2B608ADB}">
                  <a16:predDERef xmlns:a16="http://schemas.microsoft.com/office/drawing/2014/main" pred="{B6664C5B-EEEE-2835-F296-3E2B45A16B33}"/>
                </a:ext>
              </a:extLst>
            </xdr14:cNvPr>
            <xdr14:cNvContentPartPr/>
          </xdr14:nvContentPartPr>
          <xdr14:nvPr macro=""/>
          <xdr14:xfrm>
            <a:off x="4621908" y="10114222"/>
            <a:ext cx="180720" cy="452182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853B0E78-E0B8-B61B-A8F0-98757D67D2CF}"/>
                </a:ext>
                <a:ext uri="{147F2762-F138-4A5C-976F-8EAC2B608ADB}">
                  <a16:predDERef xmlns:a16="http://schemas.microsoft.com/office/drawing/2014/main" pred="{B6664C5B-EEEE-2835-F296-3E2B45A16B33}"/>
                </a:ext>
              </a:extLst>
            </xdr:cNvPr>
            <xdr:cNvPicPr/>
          </xdr:nvPicPr>
          <xdr:blipFill>
            <a:blip xmlns:r="http://schemas.openxmlformats.org/officeDocument/2006/relationships" r:embed="rId686"/>
            <a:stretch>
              <a:fillRect/>
            </a:stretch>
          </xdr:blipFill>
          <xdr:spPr>
            <a:xfrm>
              <a:off x="4351320" y="7152120"/>
              <a:ext cx="201960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130207</xdr:colOff>
      <xdr:row>48</xdr:row>
      <xdr:rowOff>110605</xdr:rowOff>
    </xdr:from>
    <xdr:to>
      <xdr:col>7</xdr:col>
      <xdr:colOff>210847</xdr:colOff>
      <xdr:row>50</xdr:row>
      <xdr:rowOff>134030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7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B858EB16-A4B8-0DDC-C966-8AE86433EECC}"/>
                </a:ext>
                <a:ext uri="{147F2762-F138-4A5C-976F-8EAC2B608ADB}">
                  <a16:predDERef xmlns:a16="http://schemas.microsoft.com/office/drawing/2014/main" pred="{853B0E78-E0B8-B61B-A8F0-98757D67D2CF}"/>
                </a:ext>
              </a:extLst>
            </xdr14:cNvPr>
            <xdr14:cNvContentPartPr/>
          </xdr14:nvContentPartPr>
          <xdr14:nvPr macro=""/>
          <xdr14:xfrm>
            <a:off x="5169239" y="10147702"/>
            <a:ext cx="80640" cy="433102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B858EB16-A4B8-0DDC-C966-8AE86433EECC}"/>
                </a:ext>
                <a:ext uri="{147F2762-F138-4A5C-976F-8EAC2B608ADB}">
                  <a16:predDERef xmlns:a16="http://schemas.microsoft.com/office/drawing/2014/main" pred="{853B0E78-E0B8-B61B-A8F0-98757D67D2CF}"/>
                </a:ext>
              </a:extLst>
            </xdr:cNvPr>
            <xdr:cNvPicPr/>
          </xdr:nvPicPr>
          <xdr:blipFill>
            <a:blip xmlns:r="http://schemas.openxmlformats.org/officeDocument/2006/relationships" r:embed="rId688"/>
            <a:stretch>
              <a:fillRect/>
            </a:stretch>
          </xdr:blipFill>
          <xdr:spPr>
            <a:xfrm>
              <a:off x="4850640" y="7185960"/>
              <a:ext cx="101880" cy="42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294727</xdr:colOff>
      <xdr:row>48</xdr:row>
      <xdr:rowOff>33565</xdr:rowOff>
    </xdr:from>
    <xdr:to>
      <xdr:col>7</xdr:col>
      <xdr:colOff>375727</xdr:colOff>
      <xdr:row>48</xdr:row>
      <xdr:rowOff>137965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9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F26DC2E3-7E31-EEDD-755F-C78FC21EE950}"/>
                </a:ext>
                <a:ext uri="{147F2762-F138-4A5C-976F-8EAC2B608ADB}">
                  <a16:predDERef xmlns:a16="http://schemas.microsoft.com/office/drawing/2014/main" pred="{B858EB16-A4B8-0DDC-C966-8AE86433EECC}"/>
                </a:ext>
              </a:extLst>
            </xdr14:cNvPr>
            <xdr14:cNvContentPartPr/>
          </xdr14:nvContentPartPr>
          <xdr14:nvPr macro=""/>
          <xdr14:xfrm>
            <a:off x="5333759" y="10070662"/>
            <a:ext cx="81000" cy="10440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F26DC2E3-7E31-EEDD-755F-C78FC21EE950}"/>
                </a:ext>
                <a:ext uri="{147F2762-F138-4A5C-976F-8EAC2B608ADB}">
                  <a16:predDERef xmlns:a16="http://schemas.microsoft.com/office/drawing/2014/main" pred="{B858EB16-A4B8-0DDC-C966-8AE86433EECC}"/>
                </a:ext>
              </a:extLst>
            </xdr:cNvPr>
            <xdr:cNvPicPr/>
          </xdr:nvPicPr>
          <xdr:blipFill>
            <a:blip xmlns:r="http://schemas.openxmlformats.org/officeDocument/2006/relationships" r:embed="rId690"/>
            <a:stretch>
              <a:fillRect/>
            </a:stretch>
          </xdr:blipFill>
          <xdr:spPr>
            <a:xfrm>
              <a:off x="5015520" y="7108560"/>
              <a:ext cx="10224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493087</xdr:colOff>
      <xdr:row>49</xdr:row>
      <xdr:rowOff>147698</xdr:rowOff>
    </xdr:from>
    <xdr:to>
      <xdr:col>7</xdr:col>
      <xdr:colOff>596047</xdr:colOff>
      <xdr:row>49</xdr:row>
      <xdr:rowOff>168218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1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F46972A3-ED82-0E45-D74A-3EB286EC450A}"/>
                </a:ext>
                <a:ext uri="{147F2762-F138-4A5C-976F-8EAC2B608ADB}">
                  <a16:predDERef xmlns:a16="http://schemas.microsoft.com/office/drawing/2014/main" pred="{F26DC2E3-7E31-EEDD-755F-C78FC21EE950}"/>
                </a:ext>
              </a:extLst>
            </xdr14:cNvPr>
            <xdr14:cNvContentPartPr/>
          </xdr14:nvContentPartPr>
          <xdr14:nvPr macro=""/>
          <xdr14:xfrm>
            <a:off x="5532119" y="10389633"/>
            <a:ext cx="102960" cy="2052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F46972A3-ED82-0E45-D74A-3EB286EC450A}"/>
                </a:ext>
                <a:ext uri="{147F2762-F138-4A5C-976F-8EAC2B608ADB}">
                  <a16:predDERef xmlns:a16="http://schemas.microsoft.com/office/drawing/2014/main" pred="{F26DC2E3-7E31-EEDD-755F-C78FC21EE950}"/>
                </a:ext>
              </a:extLst>
            </xdr:cNvPr>
            <xdr:cNvPicPr/>
          </xdr:nvPicPr>
          <xdr:blipFill>
            <a:blip xmlns:r="http://schemas.openxmlformats.org/officeDocument/2006/relationships" r:embed="rId692"/>
            <a:stretch>
              <a:fillRect/>
            </a:stretch>
          </xdr:blipFill>
          <xdr:spPr>
            <a:xfrm>
              <a:off x="5213520" y="7414200"/>
              <a:ext cx="12420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543487</xdr:colOff>
      <xdr:row>49</xdr:row>
      <xdr:rowOff>110618</xdr:rowOff>
    </xdr:from>
    <xdr:to>
      <xdr:col>7</xdr:col>
      <xdr:colOff>553927</xdr:colOff>
      <xdr:row>50</xdr:row>
      <xdr:rowOff>50510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3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29210B2C-C1ED-D4CD-0A3F-6078072EE80E}"/>
                </a:ext>
                <a:ext uri="{147F2762-F138-4A5C-976F-8EAC2B608ADB}">
                  <a16:predDERef xmlns:a16="http://schemas.microsoft.com/office/drawing/2014/main" pred="{F46972A3-ED82-0E45-D74A-3EB286EC450A}"/>
                </a:ext>
              </a:extLst>
            </xdr14:cNvPr>
            <xdr14:cNvContentPartPr/>
          </xdr14:nvContentPartPr>
          <xdr14:nvPr macro=""/>
          <xdr14:xfrm>
            <a:off x="5582519" y="10352553"/>
            <a:ext cx="10440" cy="144731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29210B2C-C1ED-D4CD-0A3F-6078072EE80E}"/>
                </a:ext>
                <a:ext uri="{147F2762-F138-4A5C-976F-8EAC2B608ADB}">
                  <a16:predDERef xmlns:a16="http://schemas.microsoft.com/office/drawing/2014/main" pred="{F46972A3-ED82-0E45-D74A-3EB286EC450A}"/>
                </a:ext>
              </a:extLst>
            </xdr:cNvPr>
            <xdr:cNvPicPr/>
          </xdr:nvPicPr>
          <xdr:blipFill>
            <a:blip xmlns:r="http://schemas.openxmlformats.org/officeDocument/2006/relationships" r:embed="rId694"/>
            <a:stretch>
              <a:fillRect/>
            </a:stretch>
          </xdr:blipFill>
          <xdr:spPr>
            <a:xfrm>
              <a:off x="5263920" y="7377480"/>
              <a:ext cx="3168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214249</xdr:colOff>
      <xdr:row>48</xdr:row>
      <xdr:rowOff>90445</xdr:rowOff>
    </xdr:from>
    <xdr:to>
      <xdr:col>8</xdr:col>
      <xdr:colOff>372649</xdr:colOff>
      <xdr:row>49</xdr:row>
      <xdr:rowOff>37178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5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28F3AD0E-D963-65DD-C35E-24D298A75F60}"/>
                </a:ext>
                <a:ext uri="{147F2762-F138-4A5C-976F-8EAC2B608ADB}">
                  <a16:predDERef xmlns:a16="http://schemas.microsoft.com/office/drawing/2014/main" pred="{29210B2C-C1ED-D4CD-0A3F-6078072EE80E}"/>
                </a:ext>
              </a:extLst>
            </xdr14:cNvPr>
            <xdr14:cNvContentPartPr/>
          </xdr14:nvContentPartPr>
          <xdr14:nvPr macro=""/>
          <xdr14:xfrm>
            <a:off x="5949733" y="10127542"/>
            <a:ext cx="158400" cy="151571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28F3AD0E-D963-65DD-C35E-24D298A75F60}"/>
                </a:ext>
                <a:ext uri="{147F2762-F138-4A5C-976F-8EAC2B608ADB}">
                  <a16:predDERef xmlns:a16="http://schemas.microsoft.com/office/drawing/2014/main" pred="{29210B2C-C1ED-D4CD-0A3F-6078072EE80E}"/>
                </a:ext>
              </a:extLst>
            </xdr:cNvPr>
            <xdr:cNvPicPr/>
          </xdr:nvPicPr>
          <xdr:blipFill>
            <a:blip xmlns:r="http://schemas.openxmlformats.org/officeDocument/2006/relationships" r:embed="rId696"/>
            <a:stretch>
              <a:fillRect/>
            </a:stretch>
          </xdr:blipFill>
          <xdr:spPr>
            <a:xfrm>
              <a:off x="5596560" y="7165800"/>
              <a:ext cx="17964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405769</xdr:colOff>
      <xdr:row>48</xdr:row>
      <xdr:rowOff>53725</xdr:rowOff>
    </xdr:from>
    <xdr:to>
      <xdr:col>8</xdr:col>
      <xdr:colOff>520249</xdr:colOff>
      <xdr:row>49</xdr:row>
      <xdr:rowOff>60578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7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42EF9DE5-C579-D41B-5591-676DC19EBC31}"/>
                </a:ext>
                <a:ext uri="{147F2762-F138-4A5C-976F-8EAC2B608ADB}">
                  <a16:predDERef xmlns:a16="http://schemas.microsoft.com/office/drawing/2014/main" pred="{28F3AD0E-D963-65DD-C35E-24D298A75F60}"/>
                </a:ext>
              </a:extLst>
            </xdr14:cNvPr>
            <xdr14:cNvContentPartPr/>
          </xdr14:nvContentPartPr>
          <xdr14:nvPr macro=""/>
          <xdr14:xfrm>
            <a:off x="6141253" y="10090822"/>
            <a:ext cx="114480" cy="211691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42EF9DE5-C579-D41B-5591-676DC19EBC31}"/>
                </a:ext>
                <a:ext uri="{147F2762-F138-4A5C-976F-8EAC2B608ADB}">
                  <a16:predDERef xmlns:a16="http://schemas.microsoft.com/office/drawing/2014/main" pred="{28F3AD0E-D963-65DD-C35E-24D298A75F60}"/>
                </a:ext>
              </a:extLst>
            </xdr:cNvPr>
            <xdr:cNvPicPr/>
          </xdr:nvPicPr>
          <xdr:blipFill>
            <a:blip xmlns:r="http://schemas.openxmlformats.org/officeDocument/2006/relationships" r:embed="rId698"/>
            <a:stretch>
              <a:fillRect/>
            </a:stretch>
          </xdr:blipFill>
          <xdr:spPr>
            <a:xfrm>
              <a:off x="5788080" y="7128720"/>
              <a:ext cx="13572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577489</xdr:colOff>
      <xdr:row>48</xdr:row>
      <xdr:rowOff>3325</xdr:rowOff>
    </xdr:from>
    <xdr:to>
      <xdr:col>9</xdr:col>
      <xdr:colOff>1978</xdr:colOff>
      <xdr:row>48</xdr:row>
      <xdr:rowOff>84325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9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BA65D867-67F1-C104-87BB-723EDD080FD8}"/>
                </a:ext>
                <a:ext uri="{147F2762-F138-4A5C-976F-8EAC2B608ADB}">
                  <a16:predDERef xmlns:a16="http://schemas.microsoft.com/office/drawing/2014/main" pred="{42EF9DE5-C579-D41B-5591-676DC19EBC31}"/>
                </a:ext>
              </a:extLst>
            </xdr14:cNvPr>
            <xdr14:cNvContentPartPr/>
          </xdr14:nvContentPartPr>
          <xdr14:nvPr macro=""/>
          <xdr14:xfrm>
            <a:off x="6312973" y="10040422"/>
            <a:ext cx="115332" cy="81000"/>
          </xdr14:xfrm>
        </xdr:contentPart>
      </mc:Choice>
      <mc:Fallback xmlns=""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BA65D867-67F1-C104-87BB-723EDD080FD8}"/>
                </a:ext>
                <a:ext uri="{147F2762-F138-4A5C-976F-8EAC2B608ADB}">
                  <a16:predDERef xmlns:a16="http://schemas.microsoft.com/office/drawing/2014/main" pred="{42EF9DE5-C579-D41B-5591-676DC19EBC31}"/>
                </a:ext>
              </a:extLst>
            </xdr:cNvPr>
            <xdr:cNvPicPr/>
          </xdr:nvPicPr>
          <xdr:blipFill>
            <a:blip xmlns:r="http://schemas.openxmlformats.org/officeDocument/2006/relationships" r:embed="rId700"/>
            <a:stretch>
              <a:fillRect/>
            </a:stretch>
          </xdr:blipFill>
          <xdr:spPr>
            <a:xfrm>
              <a:off x="5959800" y="7078320"/>
              <a:ext cx="8856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682021</xdr:colOff>
      <xdr:row>48</xdr:row>
      <xdr:rowOff>107365</xdr:rowOff>
    </xdr:from>
    <xdr:to>
      <xdr:col>9</xdr:col>
      <xdr:colOff>46410</xdr:colOff>
      <xdr:row>48</xdr:row>
      <xdr:rowOff>121045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1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D197E0D6-1E3A-3D29-1D32-ECC419C176C5}"/>
                </a:ext>
                <a:ext uri="{147F2762-F138-4A5C-976F-8EAC2B608ADB}">
                  <a16:predDERef xmlns:a16="http://schemas.microsoft.com/office/drawing/2014/main" pred="{BA65D867-67F1-C104-87BB-723EDD080FD8}"/>
                </a:ext>
              </a:extLst>
            </xdr14:cNvPr>
            <xdr14:cNvContentPartPr/>
          </xdr14:nvContentPartPr>
          <xdr14:nvPr macro=""/>
          <xdr14:xfrm>
            <a:off x="6417505" y="10144462"/>
            <a:ext cx="60840" cy="1368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D197E0D6-1E3A-3D29-1D32-ECC419C176C5}"/>
                </a:ext>
                <a:ext uri="{147F2762-F138-4A5C-976F-8EAC2B608ADB}">
                  <a16:predDERef xmlns:a16="http://schemas.microsoft.com/office/drawing/2014/main" pred="{BA65D867-67F1-C104-87BB-723EDD080FD8}"/>
                </a:ext>
              </a:extLst>
            </xdr:cNvPr>
            <xdr:cNvPicPr/>
          </xdr:nvPicPr>
          <xdr:blipFill>
            <a:blip xmlns:r="http://schemas.openxmlformats.org/officeDocument/2006/relationships" r:embed="rId702"/>
            <a:stretch>
              <a:fillRect/>
            </a:stretch>
          </xdr:blipFill>
          <xdr:spPr>
            <a:xfrm>
              <a:off x="6016680" y="7182360"/>
              <a:ext cx="8208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29490</xdr:colOff>
      <xdr:row>48</xdr:row>
      <xdr:rowOff>87205</xdr:rowOff>
    </xdr:from>
    <xdr:to>
      <xdr:col>9</xdr:col>
      <xdr:colOff>43170</xdr:colOff>
      <xdr:row>48</xdr:row>
      <xdr:rowOff>168565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3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2C09143B-231E-34DF-8B4A-F634EB01D76F}"/>
                </a:ext>
                <a:ext uri="{147F2762-F138-4A5C-976F-8EAC2B608ADB}">
                  <a16:predDERef xmlns:a16="http://schemas.microsoft.com/office/drawing/2014/main" pred="{D197E0D6-1E3A-3D29-1D32-ECC419C176C5}"/>
                </a:ext>
              </a:extLst>
            </xdr14:cNvPr>
            <xdr14:cNvContentPartPr/>
          </xdr14:nvContentPartPr>
          <xdr14:nvPr macro=""/>
          <xdr14:xfrm>
            <a:off x="6461425" y="10124302"/>
            <a:ext cx="13680" cy="81360"/>
          </xdr14:xfrm>
        </xdr:contentPart>
      </mc:Choice>
      <mc:Fallback xmlns=""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2C09143B-231E-34DF-8B4A-F634EB01D76F}"/>
                </a:ext>
                <a:ext uri="{147F2762-F138-4A5C-976F-8EAC2B608ADB}">
                  <a16:predDERef xmlns:a16="http://schemas.microsoft.com/office/drawing/2014/main" pred="{D197E0D6-1E3A-3D29-1D32-ECC419C176C5}"/>
                </a:ext>
              </a:extLst>
            </xdr:cNvPr>
            <xdr:cNvPicPr/>
          </xdr:nvPicPr>
          <xdr:blipFill>
            <a:blip xmlns:r="http://schemas.openxmlformats.org/officeDocument/2006/relationships" r:embed="rId704"/>
            <a:stretch>
              <a:fillRect/>
            </a:stretch>
          </xdr:blipFill>
          <xdr:spPr>
            <a:xfrm>
              <a:off x="6060240" y="7162200"/>
              <a:ext cx="3492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90330</xdr:colOff>
      <xdr:row>48</xdr:row>
      <xdr:rowOff>94045</xdr:rowOff>
    </xdr:from>
    <xdr:to>
      <xdr:col>9</xdr:col>
      <xdr:colOff>238290</xdr:colOff>
      <xdr:row>49</xdr:row>
      <xdr:rowOff>46898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5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F5546813-8B95-5F1B-0DB6-E195456C657F}"/>
                </a:ext>
                <a:ext uri="{147F2762-F138-4A5C-976F-8EAC2B608ADB}">
                  <a16:predDERef xmlns:a16="http://schemas.microsoft.com/office/drawing/2014/main" pred="{2C09143B-231E-34DF-8B4A-F634EB01D76F}"/>
                </a:ext>
              </a:extLst>
            </xdr14:cNvPr>
            <xdr14:cNvContentPartPr/>
          </xdr14:nvContentPartPr>
          <xdr14:nvPr macro=""/>
          <xdr14:xfrm>
            <a:off x="6522265" y="10131142"/>
            <a:ext cx="147960" cy="157691"/>
          </xdr14:xfrm>
        </xdr:contentPart>
      </mc:Choice>
      <mc:Fallback xmlns=""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F5546813-8B95-5F1B-0DB6-E195456C657F}"/>
                </a:ext>
                <a:ext uri="{147F2762-F138-4A5C-976F-8EAC2B608ADB}">
                  <a16:predDERef xmlns:a16="http://schemas.microsoft.com/office/drawing/2014/main" pred="{2C09143B-231E-34DF-8B4A-F634EB01D76F}"/>
                </a:ext>
              </a:extLst>
            </xdr:cNvPr>
            <xdr:cNvPicPr/>
          </xdr:nvPicPr>
          <xdr:blipFill>
            <a:blip xmlns:r="http://schemas.openxmlformats.org/officeDocument/2006/relationships" r:embed="rId706"/>
            <a:stretch>
              <a:fillRect/>
            </a:stretch>
          </xdr:blipFill>
          <xdr:spPr>
            <a:xfrm>
              <a:off x="6121080" y="7169040"/>
              <a:ext cx="16920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281490</xdr:colOff>
      <xdr:row>48</xdr:row>
      <xdr:rowOff>23485</xdr:rowOff>
    </xdr:from>
    <xdr:to>
      <xdr:col>9</xdr:col>
      <xdr:colOff>362490</xdr:colOff>
      <xdr:row>49</xdr:row>
      <xdr:rowOff>33938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7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8C58CA98-A5AC-0B88-420B-99FE26ED827E}"/>
                </a:ext>
                <a:ext uri="{147F2762-F138-4A5C-976F-8EAC2B608ADB}">
                  <a16:predDERef xmlns:a16="http://schemas.microsoft.com/office/drawing/2014/main" pred="{F5546813-8B95-5F1B-0DB6-E195456C657F}"/>
                </a:ext>
              </a:extLst>
            </xdr14:cNvPr>
            <xdr14:cNvContentPartPr/>
          </xdr14:nvContentPartPr>
          <xdr14:nvPr macro=""/>
          <xdr14:xfrm>
            <a:off x="6713425" y="10060582"/>
            <a:ext cx="81000" cy="215291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8C58CA98-A5AC-0B88-420B-99FE26ED827E}"/>
                </a:ext>
                <a:ext uri="{147F2762-F138-4A5C-976F-8EAC2B608ADB}">
                  <a16:predDERef xmlns:a16="http://schemas.microsoft.com/office/drawing/2014/main" pred="{F5546813-8B95-5F1B-0DB6-E195456C657F}"/>
                </a:ext>
              </a:extLst>
            </xdr:cNvPr>
            <xdr:cNvPicPr/>
          </xdr:nvPicPr>
          <xdr:blipFill>
            <a:blip xmlns:r="http://schemas.openxmlformats.org/officeDocument/2006/relationships" r:embed="rId708"/>
            <a:stretch>
              <a:fillRect/>
            </a:stretch>
          </xdr:blipFill>
          <xdr:spPr>
            <a:xfrm>
              <a:off x="6312240" y="7098480"/>
              <a:ext cx="10224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385530</xdr:colOff>
      <xdr:row>48</xdr:row>
      <xdr:rowOff>110605</xdr:rowOff>
    </xdr:from>
    <xdr:to>
      <xdr:col>9</xdr:col>
      <xdr:colOff>449610</xdr:colOff>
      <xdr:row>49</xdr:row>
      <xdr:rowOff>60578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9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CE3E3434-FE56-8251-408E-A28BBDD3FBEC}"/>
                </a:ext>
                <a:ext uri="{147F2762-F138-4A5C-976F-8EAC2B608ADB}">
                  <a16:predDERef xmlns:a16="http://schemas.microsoft.com/office/drawing/2014/main" pred="{8C58CA98-A5AC-0B88-420B-99FE26ED827E}"/>
                </a:ext>
              </a:extLst>
            </xdr14:cNvPr>
            <xdr14:cNvContentPartPr/>
          </xdr14:nvContentPartPr>
          <xdr14:nvPr macro=""/>
          <xdr14:xfrm>
            <a:off x="6817465" y="10147702"/>
            <a:ext cx="64080" cy="154811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CE3E3434-FE56-8251-408E-A28BBDD3FBEC}"/>
                </a:ext>
                <a:ext uri="{147F2762-F138-4A5C-976F-8EAC2B608ADB}">
                  <a16:predDERef xmlns:a16="http://schemas.microsoft.com/office/drawing/2014/main" pred="{8C58CA98-A5AC-0B88-420B-99FE26ED827E}"/>
                </a:ext>
              </a:extLst>
            </xdr:cNvPr>
            <xdr:cNvPicPr/>
          </xdr:nvPicPr>
          <xdr:blipFill>
            <a:blip xmlns:r="http://schemas.openxmlformats.org/officeDocument/2006/relationships" r:embed="rId710"/>
            <a:stretch>
              <a:fillRect/>
            </a:stretch>
          </xdr:blipFill>
          <xdr:spPr>
            <a:xfrm>
              <a:off x="6416640" y="7185960"/>
              <a:ext cx="853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496410</xdr:colOff>
      <xdr:row>47</xdr:row>
      <xdr:rowOff>114194</xdr:rowOff>
    </xdr:from>
    <xdr:to>
      <xdr:col>9</xdr:col>
      <xdr:colOff>586050</xdr:colOff>
      <xdr:row>48</xdr:row>
      <xdr:rowOff>6925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1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72A44530-321A-47A1-E9CB-2791FB78EFB5}"/>
                </a:ext>
                <a:ext uri="{147F2762-F138-4A5C-976F-8EAC2B608ADB}">
                  <a16:predDERef xmlns:a16="http://schemas.microsoft.com/office/drawing/2014/main" pred="{CE3E3434-FE56-8251-408E-A28BBDD3FBEC}"/>
                </a:ext>
              </a:extLst>
            </xdr14:cNvPr>
            <xdr14:cNvContentPartPr/>
          </xdr14:nvContentPartPr>
          <xdr14:nvPr macro=""/>
          <xdr14:xfrm>
            <a:off x="6928345" y="9946452"/>
            <a:ext cx="89640" cy="9757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72A44530-321A-47A1-E9CB-2791FB78EFB5}"/>
                </a:ext>
                <a:ext uri="{147F2762-F138-4A5C-976F-8EAC2B608ADB}">
                  <a16:predDERef xmlns:a16="http://schemas.microsoft.com/office/drawing/2014/main" pred="{CE3E3434-FE56-8251-408E-A28BBDD3FBEC}"/>
                </a:ext>
              </a:extLst>
            </xdr:cNvPr>
            <xdr:cNvPicPr/>
          </xdr:nvPicPr>
          <xdr:blipFill>
            <a:blip xmlns:r="http://schemas.openxmlformats.org/officeDocument/2006/relationships" r:embed="rId712"/>
            <a:stretch>
              <a:fillRect/>
            </a:stretch>
          </xdr:blipFill>
          <xdr:spPr>
            <a:xfrm>
              <a:off x="6527520" y="6997680"/>
              <a:ext cx="11088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147649</xdr:colOff>
      <xdr:row>49</xdr:row>
      <xdr:rowOff>120698</xdr:rowOff>
    </xdr:from>
    <xdr:to>
      <xdr:col>9</xdr:col>
      <xdr:colOff>503250</xdr:colOff>
      <xdr:row>49</xdr:row>
      <xdr:rowOff>151298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3">
          <xdr14:nvContentPartPr>
            <xdr14:cNvPr id="367" name="Ink 366">
              <a:extLst>
                <a:ext uri="{FF2B5EF4-FFF2-40B4-BE49-F238E27FC236}">
                  <a16:creationId xmlns:a16="http://schemas.microsoft.com/office/drawing/2014/main" id="{72BA309D-D3B4-94BE-7868-2632D8413630}"/>
                </a:ext>
                <a:ext uri="{147F2762-F138-4A5C-976F-8EAC2B608ADB}">
                  <a16:predDERef xmlns:a16="http://schemas.microsoft.com/office/drawing/2014/main" pred="{72A44530-321A-47A1-E9CB-2791FB78EFB5}"/>
                </a:ext>
              </a:extLst>
            </xdr14:cNvPr>
            <xdr14:cNvContentPartPr/>
          </xdr14:nvContentPartPr>
          <xdr14:nvPr macro=""/>
          <xdr14:xfrm>
            <a:off x="5883133" y="10362633"/>
            <a:ext cx="1052052" cy="30600"/>
          </xdr14:xfrm>
        </xdr:contentPart>
      </mc:Choice>
      <mc:Fallback xmlns="">
        <xdr:pic>
          <xdr:nvPicPr>
            <xdr:cNvPr id="367" name="Ink 366">
              <a:extLst>
                <a:ext uri="{FF2B5EF4-FFF2-40B4-BE49-F238E27FC236}">
                  <a16:creationId xmlns:a16="http://schemas.microsoft.com/office/drawing/2014/main" id="{72BA309D-D3B4-94BE-7868-2632D8413630}"/>
                </a:ext>
                <a:ext uri="{147F2762-F138-4A5C-976F-8EAC2B608ADB}">
                  <a16:predDERef xmlns:a16="http://schemas.microsoft.com/office/drawing/2014/main" pred="{72A44530-321A-47A1-E9CB-2791FB78EFB5}"/>
                </a:ext>
              </a:extLst>
            </xdr:cNvPr>
            <xdr:cNvPicPr/>
          </xdr:nvPicPr>
          <xdr:blipFill>
            <a:blip xmlns:r="http://schemas.openxmlformats.org/officeDocument/2006/relationships" r:embed="rId714"/>
            <a:stretch>
              <a:fillRect/>
            </a:stretch>
          </xdr:blipFill>
          <xdr:spPr>
            <a:xfrm>
              <a:off x="5530320" y="7387560"/>
              <a:ext cx="102528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378769</xdr:colOff>
      <xdr:row>50</xdr:row>
      <xdr:rowOff>19910</xdr:rowOff>
    </xdr:from>
    <xdr:to>
      <xdr:col>8</xdr:col>
      <xdr:colOff>483169</xdr:colOff>
      <xdr:row>51</xdr:row>
      <xdr:rowOff>16682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5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24008984-89A7-C9A5-7347-F13EA45D6EAB}"/>
                </a:ext>
                <a:ext uri="{147F2762-F138-4A5C-976F-8EAC2B608ADB}">
                  <a16:predDERef xmlns:a16="http://schemas.microsoft.com/office/drawing/2014/main" pred="{72BA309D-D3B4-94BE-7868-2632D8413630}"/>
                </a:ext>
              </a:extLst>
            </xdr14:cNvPr>
            <xdr14:cNvContentPartPr/>
          </xdr14:nvContentPartPr>
          <xdr14:nvPr macro=""/>
          <xdr14:xfrm>
            <a:off x="6114253" y="10466684"/>
            <a:ext cx="104400" cy="201611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24008984-89A7-C9A5-7347-F13EA45D6EAB}"/>
                </a:ext>
                <a:ext uri="{147F2762-F138-4A5C-976F-8EAC2B608ADB}">
                  <a16:predDERef xmlns:a16="http://schemas.microsoft.com/office/drawing/2014/main" pred="{72BA309D-D3B4-94BE-7868-2632D8413630}"/>
                </a:ext>
              </a:extLst>
            </xdr:cNvPr>
            <xdr:cNvPicPr/>
          </xdr:nvPicPr>
          <xdr:blipFill>
            <a:blip xmlns:r="http://schemas.openxmlformats.org/officeDocument/2006/relationships" r:embed="rId716"/>
            <a:stretch>
              <a:fillRect/>
            </a:stretch>
          </xdr:blipFill>
          <xdr:spPr>
            <a:xfrm>
              <a:off x="5761440" y="7478280"/>
              <a:ext cx="12564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519889</xdr:colOff>
      <xdr:row>50</xdr:row>
      <xdr:rowOff>94070</xdr:rowOff>
    </xdr:from>
    <xdr:to>
      <xdr:col>9</xdr:col>
      <xdr:colOff>1033</xdr:colOff>
      <xdr:row>50</xdr:row>
      <xdr:rowOff>111350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7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5DCEADCE-3D5A-C393-514B-9D23CC1D3703}"/>
                </a:ext>
                <a:ext uri="{147F2762-F138-4A5C-976F-8EAC2B608ADB}">
                  <a16:predDERef xmlns:a16="http://schemas.microsoft.com/office/drawing/2014/main" pred="{24008984-89A7-C9A5-7347-F13EA45D6EAB}"/>
                </a:ext>
              </a:extLst>
            </xdr14:cNvPr>
            <xdr14:cNvContentPartPr/>
          </xdr14:nvContentPartPr>
          <xdr14:nvPr macro=""/>
          <xdr14:xfrm>
            <a:off x="6255373" y="10540844"/>
            <a:ext cx="143412" cy="1728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5DCEADCE-3D5A-C393-514B-9D23CC1D3703}"/>
                </a:ext>
                <a:ext uri="{147F2762-F138-4A5C-976F-8EAC2B608ADB}">
                  <a16:predDERef xmlns:a16="http://schemas.microsoft.com/office/drawing/2014/main" pred="{24008984-89A7-C9A5-7347-F13EA45D6EAB}"/>
                </a:ext>
              </a:extLst>
            </xdr:cNvPr>
            <xdr:cNvPicPr/>
          </xdr:nvPicPr>
          <xdr:blipFill>
            <a:blip xmlns:r="http://schemas.openxmlformats.org/officeDocument/2006/relationships" r:embed="rId718"/>
            <a:stretch>
              <a:fillRect/>
            </a:stretch>
          </xdr:blipFill>
          <xdr:spPr>
            <a:xfrm>
              <a:off x="5902560" y="7552080"/>
              <a:ext cx="11664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577129</xdr:colOff>
      <xdr:row>50</xdr:row>
      <xdr:rowOff>70310</xdr:rowOff>
    </xdr:from>
    <xdr:to>
      <xdr:col>8</xdr:col>
      <xdr:colOff>587569</xdr:colOff>
      <xdr:row>50</xdr:row>
      <xdr:rowOff>147710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9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9BAD5942-D178-B585-0614-085FF5983FF5}"/>
                </a:ext>
                <a:ext uri="{147F2762-F138-4A5C-976F-8EAC2B608ADB}">
                  <a16:predDERef xmlns:a16="http://schemas.microsoft.com/office/drawing/2014/main" pred="{5DCEADCE-3D5A-C393-514B-9D23CC1D3703}"/>
                </a:ext>
              </a:extLst>
            </xdr14:cNvPr>
            <xdr14:cNvContentPartPr/>
          </xdr14:nvContentPartPr>
          <xdr14:nvPr macro=""/>
          <xdr14:xfrm>
            <a:off x="6312613" y="10517084"/>
            <a:ext cx="10440" cy="7740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9BAD5942-D178-B585-0614-085FF5983FF5}"/>
                </a:ext>
                <a:ext uri="{147F2762-F138-4A5C-976F-8EAC2B608ADB}">
                  <a16:predDERef xmlns:a16="http://schemas.microsoft.com/office/drawing/2014/main" pred="{5DCEADCE-3D5A-C393-514B-9D23CC1D3703}"/>
                </a:ext>
              </a:extLst>
            </xdr:cNvPr>
            <xdr:cNvPicPr/>
          </xdr:nvPicPr>
          <xdr:blipFill>
            <a:blip xmlns:r="http://schemas.openxmlformats.org/officeDocument/2006/relationships" r:embed="rId720"/>
            <a:stretch>
              <a:fillRect/>
            </a:stretch>
          </xdr:blipFill>
          <xdr:spPr>
            <a:xfrm>
              <a:off x="5959440" y="7528680"/>
              <a:ext cx="316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35970</xdr:colOff>
      <xdr:row>50</xdr:row>
      <xdr:rowOff>3710</xdr:rowOff>
    </xdr:from>
    <xdr:to>
      <xdr:col>9</xdr:col>
      <xdr:colOff>137130</xdr:colOff>
      <xdr:row>51</xdr:row>
      <xdr:rowOff>2122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1">
          <xdr14:nvContentPartPr>
            <xdr14:cNvPr id="371" name="Ink 370">
              <a:extLst>
                <a:ext uri="{FF2B5EF4-FFF2-40B4-BE49-F238E27FC236}">
                  <a16:creationId xmlns:a16="http://schemas.microsoft.com/office/drawing/2014/main" id="{F875CBA2-5BDA-D01C-0400-6CA0066A0E7D}"/>
                </a:ext>
                <a:ext uri="{147F2762-F138-4A5C-976F-8EAC2B608ADB}">
                  <a16:predDERef xmlns:a16="http://schemas.microsoft.com/office/drawing/2014/main" pred="{9BAD5942-D178-B585-0614-085FF5983FF5}"/>
                </a:ext>
              </a:extLst>
            </xdr14:cNvPr>
            <xdr14:cNvContentPartPr/>
          </xdr14:nvContentPartPr>
          <xdr14:nvPr macro=""/>
          <xdr14:xfrm>
            <a:off x="6467905" y="10450484"/>
            <a:ext cx="101160" cy="203251"/>
          </xdr14:xfrm>
        </xdr:contentPart>
      </mc:Choice>
      <mc:Fallback xmlns="">
        <xdr:pic>
          <xdr:nvPicPr>
            <xdr:cNvPr id="371" name="Ink 370">
              <a:extLst>
                <a:ext uri="{FF2B5EF4-FFF2-40B4-BE49-F238E27FC236}">
                  <a16:creationId xmlns:a16="http://schemas.microsoft.com/office/drawing/2014/main" id="{F875CBA2-5BDA-D01C-0400-6CA0066A0E7D}"/>
                </a:ext>
                <a:ext uri="{147F2762-F138-4A5C-976F-8EAC2B608ADB}">
                  <a16:predDERef xmlns:a16="http://schemas.microsoft.com/office/drawing/2014/main" pred="{9BAD5942-D178-B585-0614-085FF5983FF5}"/>
                </a:ext>
              </a:extLst>
            </xdr:cNvPr>
            <xdr:cNvPicPr/>
          </xdr:nvPicPr>
          <xdr:blipFill>
            <a:blip xmlns:r="http://schemas.openxmlformats.org/officeDocument/2006/relationships" r:embed="rId722"/>
            <a:stretch>
              <a:fillRect/>
            </a:stretch>
          </xdr:blipFill>
          <xdr:spPr>
            <a:xfrm>
              <a:off x="6067080" y="7461720"/>
              <a:ext cx="12240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167010</xdr:colOff>
      <xdr:row>50</xdr:row>
      <xdr:rowOff>114230</xdr:rowOff>
    </xdr:from>
    <xdr:to>
      <xdr:col>9</xdr:col>
      <xdr:colOff>224610</xdr:colOff>
      <xdr:row>51</xdr:row>
      <xdr:rowOff>67082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1A7B5C12-FB97-AA67-88F7-ACF751EFCF70}"/>
                </a:ext>
                <a:ext uri="{147F2762-F138-4A5C-976F-8EAC2B608ADB}">
                  <a16:predDERef xmlns:a16="http://schemas.microsoft.com/office/drawing/2014/main" pred="{F875CBA2-5BDA-D01C-0400-6CA0066A0E7D}"/>
                </a:ext>
              </a:extLst>
            </xdr14:cNvPr>
            <xdr14:cNvContentPartPr/>
          </xdr14:nvContentPartPr>
          <xdr14:nvPr macro=""/>
          <xdr14:xfrm>
            <a:off x="6598945" y="10561004"/>
            <a:ext cx="57600" cy="157691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1A7B5C12-FB97-AA67-88F7-ACF751EFCF70}"/>
                </a:ext>
                <a:ext uri="{147F2762-F138-4A5C-976F-8EAC2B608ADB}">
                  <a16:predDERef xmlns:a16="http://schemas.microsoft.com/office/drawing/2014/main" pred="{F875CBA2-5BDA-D01C-0400-6CA0066A0E7D}"/>
                </a:ext>
              </a:extLst>
            </xdr:cNvPr>
            <xdr:cNvPicPr/>
          </xdr:nvPicPr>
          <xdr:blipFill>
            <a:blip xmlns:r="http://schemas.openxmlformats.org/officeDocument/2006/relationships" r:embed="rId724"/>
            <a:stretch>
              <a:fillRect/>
            </a:stretch>
          </xdr:blipFill>
          <xdr:spPr>
            <a:xfrm>
              <a:off x="6198120" y="7572240"/>
              <a:ext cx="7884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284730</xdr:colOff>
      <xdr:row>50</xdr:row>
      <xdr:rowOff>26750</xdr:rowOff>
    </xdr:from>
    <xdr:to>
      <xdr:col>9</xdr:col>
      <xdr:colOff>328650</xdr:colOff>
      <xdr:row>51</xdr:row>
      <xdr:rowOff>17042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5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9B830021-D749-56A3-C490-01A6BC745F14}"/>
                </a:ext>
                <a:ext uri="{147F2762-F138-4A5C-976F-8EAC2B608ADB}">
                  <a16:predDERef xmlns:a16="http://schemas.microsoft.com/office/drawing/2014/main" pred="{1A7B5C12-FB97-AA67-88F7-ACF751EFCF70}"/>
                </a:ext>
              </a:extLst>
            </xdr14:cNvPr>
            <xdr14:cNvContentPartPr/>
          </xdr14:nvContentPartPr>
          <xdr14:nvPr macro=""/>
          <xdr14:xfrm>
            <a:off x="6716665" y="10473524"/>
            <a:ext cx="43920" cy="195131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9B830021-D749-56A3-C490-01A6BC745F14}"/>
                </a:ext>
                <a:ext uri="{147F2762-F138-4A5C-976F-8EAC2B608ADB}">
                  <a16:predDERef xmlns:a16="http://schemas.microsoft.com/office/drawing/2014/main" pred="{1A7B5C12-FB97-AA67-88F7-ACF751EFCF70}"/>
                </a:ext>
              </a:extLst>
            </xdr:cNvPr>
            <xdr:cNvPicPr/>
          </xdr:nvPicPr>
          <xdr:blipFill>
            <a:blip xmlns:r="http://schemas.openxmlformats.org/officeDocument/2006/relationships" r:embed="rId726"/>
            <a:stretch>
              <a:fillRect/>
            </a:stretch>
          </xdr:blipFill>
          <xdr:spPr>
            <a:xfrm>
              <a:off x="6315840" y="7484760"/>
              <a:ext cx="6516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301729</xdr:colOff>
      <xdr:row>49</xdr:row>
      <xdr:rowOff>177938</xdr:rowOff>
    </xdr:from>
    <xdr:to>
      <xdr:col>8</xdr:col>
      <xdr:colOff>396049</xdr:colOff>
      <xdr:row>51</xdr:row>
      <xdr:rowOff>46562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7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4295415F-8C0B-F5DB-0022-EA1996326775}"/>
                </a:ext>
                <a:ext uri="{147F2762-F138-4A5C-976F-8EAC2B608ADB}">
                  <a16:predDERef xmlns:a16="http://schemas.microsoft.com/office/drawing/2014/main" pred="{9B830021-D749-56A3-C490-01A6BC745F14}"/>
                </a:ext>
              </a:extLst>
            </xdr14:cNvPr>
            <xdr14:cNvContentPartPr/>
          </xdr14:nvContentPartPr>
          <xdr14:nvPr macro=""/>
          <xdr14:xfrm>
            <a:off x="6037213" y="10419873"/>
            <a:ext cx="94320" cy="278302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4295415F-8C0B-F5DB-0022-EA1996326775}"/>
                </a:ext>
                <a:ext uri="{147F2762-F138-4A5C-976F-8EAC2B608ADB}">
                  <a16:predDERef xmlns:a16="http://schemas.microsoft.com/office/drawing/2014/main" pred="{9B830021-D749-56A3-C490-01A6BC745F14}"/>
                </a:ext>
              </a:extLst>
            </xdr:cNvPr>
            <xdr:cNvPicPr/>
          </xdr:nvPicPr>
          <xdr:blipFill>
            <a:blip xmlns:r="http://schemas.openxmlformats.org/officeDocument/2006/relationships" r:embed="rId728"/>
            <a:stretch>
              <a:fillRect/>
            </a:stretch>
          </xdr:blipFill>
          <xdr:spPr>
            <a:xfrm>
              <a:off x="5684040" y="7444440"/>
              <a:ext cx="115560" cy="27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419010</xdr:colOff>
      <xdr:row>49</xdr:row>
      <xdr:rowOff>157778</xdr:rowOff>
    </xdr:from>
    <xdr:to>
      <xdr:col>9</xdr:col>
      <xdr:colOff>513330</xdr:colOff>
      <xdr:row>50</xdr:row>
      <xdr:rowOff>47270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9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A1E90CB3-3411-ED0B-9012-6E5F5BD1B598}"/>
                </a:ext>
                <a:ext uri="{147F2762-F138-4A5C-976F-8EAC2B608ADB}">
                  <a16:predDERef xmlns:a16="http://schemas.microsoft.com/office/drawing/2014/main" pred="{4295415F-8C0B-F5DB-0022-EA1996326775}"/>
                </a:ext>
              </a:extLst>
            </xdr14:cNvPr>
            <xdr14:cNvContentPartPr/>
          </xdr14:nvContentPartPr>
          <xdr14:nvPr macro=""/>
          <xdr14:xfrm>
            <a:off x="6850945" y="10399713"/>
            <a:ext cx="94320" cy="94331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A1E90CB3-3411-ED0B-9012-6E5F5BD1B598}"/>
                </a:ext>
                <a:ext uri="{147F2762-F138-4A5C-976F-8EAC2B608ADB}">
                  <a16:predDERef xmlns:a16="http://schemas.microsoft.com/office/drawing/2014/main" pred="{4295415F-8C0B-F5DB-0022-EA1996326775}"/>
                </a:ext>
              </a:extLst>
            </xdr:cNvPr>
            <xdr:cNvPicPr/>
          </xdr:nvPicPr>
          <xdr:blipFill>
            <a:blip xmlns:r="http://schemas.openxmlformats.org/officeDocument/2006/relationships" r:embed="rId730"/>
            <a:stretch>
              <a:fillRect/>
            </a:stretch>
          </xdr:blipFill>
          <xdr:spPr>
            <a:xfrm>
              <a:off x="6450120" y="7424280"/>
              <a:ext cx="11556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624210</xdr:colOff>
      <xdr:row>47</xdr:row>
      <xdr:rowOff>100874</xdr:rowOff>
    </xdr:from>
    <xdr:to>
      <xdr:col>10</xdr:col>
      <xdr:colOff>1487</xdr:colOff>
      <xdr:row>51</xdr:row>
      <xdr:rowOff>73922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1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CE0F21B3-8974-06C5-08AA-957E85EE366C}"/>
                </a:ext>
                <a:ext uri="{147F2762-F138-4A5C-976F-8EAC2B608ADB}">
                  <a16:predDERef xmlns:a16="http://schemas.microsoft.com/office/drawing/2014/main" pred="{A1E90CB3-3411-ED0B-9012-6E5F5BD1B598}"/>
                </a:ext>
              </a:extLst>
            </xdr14:cNvPr>
            <xdr14:cNvContentPartPr/>
          </xdr14:nvContentPartPr>
          <xdr14:nvPr macro=""/>
          <xdr14:xfrm>
            <a:off x="7056145" y="9933132"/>
            <a:ext cx="244052" cy="792403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CE0F21B3-8974-06C5-08AA-957E85EE366C}"/>
                </a:ext>
                <a:ext uri="{147F2762-F138-4A5C-976F-8EAC2B608ADB}">
                  <a16:predDERef xmlns:a16="http://schemas.microsoft.com/office/drawing/2014/main" pred="{A1E90CB3-3411-ED0B-9012-6E5F5BD1B598}"/>
                </a:ext>
              </a:extLst>
            </xdr:cNvPr>
            <xdr:cNvPicPr/>
          </xdr:nvPicPr>
          <xdr:blipFill>
            <a:blip xmlns:r="http://schemas.openxmlformats.org/officeDocument/2006/relationships" r:embed="rId732"/>
            <a:stretch>
              <a:fillRect/>
            </a:stretch>
          </xdr:blipFill>
          <xdr:spPr>
            <a:xfrm>
              <a:off x="6654960" y="6984720"/>
              <a:ext cx="209520" cy="76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52692</xdr:colOff>
      <xdr:row>47</xdr:row>
      <xdr:rowOff>67034</xdr:rowOff>
    </xdr:from>
    <xdr:to>
      <xdr:col>1</xdr:col>
      <xdr:colOff>127212</xdr:colOff>
      <xdr:row>51</xdr:row>
      <xdr:rowOff>60602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3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D33E6135-1D05-162D-47B6-5CF606A89449}"/>
                </a:ext>
                <a:ext uri="{147F2762-F138-4A5C-976F-8EAC2B608ADB}">
                  <a16:predDERef xmlns:a16="http://schemas.microsoft.com/office/drawing/2014/main" pred="{CE0F21B3-8974-06C5-08AA-957E85EE366C}"/>
                </a:ext>
              </a:extLst>
            </xdr14:cNvPr>
            <xdr14:cNvContentPartPr/>
          </xdr14:nvContentPartPr>
          <xdr14:nvPr macro=""/>
          <xdr14:xfrm>
            <a:off x="1076886" y="9899292"/>
            <a:ext cx="74520" cy="812923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D33E6135-1D05-162D-47B6-5CF606A89449}"/>
                </a:ext>
                <a:ext uri="{147F2762-F138-4A5C-976F-8EAC2B608ADB}">
                  <a16:predDERef xmlns:a16="http://schemas.microsoft.com/office/drawing/2014/main" pred="{CE0F21B3-8974-06C5-08AA-957E85EE366C}"/>
                </a:ext>
              </a:extLst>
            </xdr:cNvPr>
            <xdr:cNvPicPr/>
          </xdr:nvPicPr>
          <xdr:blipFill>
            <a:blip xmlns:r="http://schemas.openxmlformats.org/officeDocument/2006/relationships" r:embed="rId734"/>
            <a:stretch>
              <a:fillRect/>
            </a:stretch>
          </xdr:blipFill>
          <xdr:spPr>
            <a:xfrm>
              <a:off x="1030680" y="6950520"/>
              <a:ext cx="95760" cy="78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938081</xdr:colOff>
      <xdr:row>47</xdr:row>
      <xdr:rowOff>50114</xdr:rowOff>
    </xdr:from>
    <xdr:to>
      <xdr:col>10</xdr:col>
      <xdr:colOff>220822</xdr:colOff>
      <xdr:row>51</xdr:row>
      <xdr:rowOff>67442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5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5B989159-070D-A110-ECC8-3CA23D7BF955}"/>
                </a:ext>
                <a:ext uri="{147F2762-F138-4A5C-976F-8EAC2B608ADB}">
                  <a16:predDERef xmlns:a16="http://schemas.microsoft.com/office/drawing/2014/main" pred="{D33E6135-1D05-162D-47B6-5CF606A89449}"/>
                </a:ext>
              </a:extLst>
            </xdr14:cNvPr>
            <xdr14:cNvContentPartPr/>
          </xdr14:nvContentPartPr>
          <xdr14:nvPr macro=""/>
          <xdr14:xfrm>
            <a:off x="7370016" y="9882372"/>
            <a:ext cx="225000" cy="836683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5B989159-070D-A110-ECC8-3CA23D7BF955}"/>
                </a:ext>
                <a:ext uri="{147F2762-F138-4A5C-976F-8EAC2B608ADB}">
                  <a16:predDERef xmlns:a16="http://schemas.microsoft.com/office/drawing/2014/main" pred="{D33E6135-1D05-162D-47B6-5CF606A89449}"/>
                </a:ext>
              </a:extLst>
            </xdr:cNvPr>
            <xdr:cNvPicPr/>
          </xdr:nvPicPr>
          <xdr:blipFill>
            <a:blip xmlns:r="http://schemas.openxmlformats.org/officeDocument/2006/relationships" r:embed="rId736"/>
            <a:stretch>
              <a:fillRect/>
            </a:stretch>
          </xdr:blipFill>
          <xdr:spPr>
            <a:xfrm>
              <a:off x="6859800" y="6933960"/>
              <a:ext cx="246240" cy="80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476422</xdr:colOff>
      <xdr:row>46</xdr:row>
      <xdr:rowOff>50102</xdr:rowOff>
    </xdr:from>
    <xdr:to>
      <xdr:col>10</xdr:col>
      <xdr:colOff>483622</xdr:colOff>
      <xdr:row>46</xdr:row>
      <xdr:rowOff>178262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7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41F595A7-A75D-40E9-24C4-E39B815EFD26}"/>
                </a:ext>
                <a:ext uri="{147F2762-F138-4A5C-976F-8EAC2B608ADB}">
                  <a16:predDERef xmlns:a16="http://schemas.microsoft.com/office/drawing/2014/main" pred="{5B989159-070D-A110-ECC8-3CA23D7BF955}"/>
                </a:ext>
              </a:extLst>
            </xdr14:cNvPr>
            <xdr14:cNvContentPartPr/>
          </xdr14:nvContentPartPr>
          <xdr14:nvPr macro=""/>
          <xdr14:xfrm>
            <a:off x="7850616" y="9677521"/>
            <a:ext cx="7200" cy="12816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41F595A7-A75D-40E9-24C4-E39B815EFD26}"/>
                </a:ext>
                <a:ext uri="{147F2762-F138-4A5C-976F-8EAC2B608ADB}">
                  <a16:predDERef xmlns:a16="http://schemas.microsoft.com/office/drawing/2014/main" pred="{5B989159-070D-A110-ECC8-3CA23D7BF955}"/>
                </a:ext>
              </a:extLst>
            </xdr:cNvPr>
            <xdr:cNvPicPr/>
          </xdr:nvPicPr>
          <xdr:blipFill>
            <a:blip xmlns:r="http://schemas.openxmlformats.org/officeDocument/2006/relationships" r:embed="rId738"/>
            <a:stretch>
              <a:fillRect/>
            </a:stretch>
          </xdr:blipFill>
          <xdr:spPr>
            <a:xfrm>
              <a:off x="7340400" y="6742440"/>
              <a:ext cx="2844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399022</xdr:colOff>
      <xdr:row>47</xdr:row>
      <xdr:rowOff>13394</xdr:rowOff>
    </xdr:from>
    <xdr:to>
      <xdr:col>10</xdr:col>
      <xdr:colOff>469942</xdr:colOff>
      <xdr:row>47</xdr:row>
      <xdr:rowOff>27074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9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14F703BE-50E8-B767-9486-02F0C5C6B4ED}"/>
                </a:ext>
                <a:ext uri="{147F2762-F138-4A5C-976F-8EAC2B608ADB}">
                  <a16:predDERef xmlns:a16="http://schemas.microsoft.com/office/drawing/2014/main" pred="{41F595A7-A75D-40E9-24C4-E39B815EFD26}"/>
                </a:ext>
              </a:extLst>
            </xdr14:cNvPr>
            <xdr14:cNvContentPartPr/>
          </xdr14:nvContentPartPr>
          <xdr14:nvPr macro=""/>
          <xdr14:xfrm>
            <a:off x="7773216" y="9845652"/>
            <a:ext cx="70920" cy="13680"/>
          </xdr14:xfrm>
        </xdr:contentPart>
      </mc:Choice>
      <mc:Fallback xmlns=""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14F703BE-50E8-B767-9486-02F0C5C6B4ED}"/>
                </a:ext>
                <a:ext uri="{147F2762-F138-4A5C-976F-8EAC2B608ADB}">
                  <a16:predDERef xmlns:a16="http://schemas.microsoft.com/office/drawing/2014/main" pred="{41F595A7-A75D-40E9-24C4-E39B815EFD26}"/>
                </a:ext>
              </a:extLst>
            </xdr:cNvPr>
            <xdr:cNvPicPr/>
          </xdr:nvPicPr>
          <xdr:blipFill>
            <a:blip xmlns:r="http://schemas.openxmlformats.org/officeDocument/2006/relationships" r:embed="rId740"/>
            <a:stretch>
              <a:fillRect/>
            </a:stretch>
          </xdr:blipFill>
          <xdr:spPr>
            <a:xfrm>
              <a:off x="7263000" y="6896880"/>
              <a:ext cx="92160" cy="3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412702</xdr:colOff>
      <xdr:row>47</xdr:row>
      <xdr:rowOff>90434</xdr:rowOff>
    </xdr:from>
    <xdr:to>
      <xdr:col>10</xdr:col>
      <xdr:colOff>510262</xdr:colOff>
      <xdr:row>47</xdr:row>
      <xdr:rowOff>181514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1">
          <xdr14:nvContentPartPr>
            <xdr14:cNvPr id="381" name="Ink 380">
              <a:extLst>
                <a:ext uri="{FF2B5EF4-FFF2-40B4-BE49-F238E27FC236}">
                  <a16:creationId xmlns:a16="http://schemas.microsoft.com/office/drawing/2014/main" id="{5EAB94D2-BC87-E4B4-BD95-627F4F9590E9}"/>
                </a:ext>
                <a:ext uri="{147F2762-F138-4A5C-976F-8EAC2B608ADB}">
                  <a16:predDERef xmlns:a16="http://schemas.microsoft.com/office/drawing/2014/main" pred="{14F703BE-50E8-B767-9486-02F0C5C6B4ED}"/>
                </a:ext>
              </a:extLst>
            </xdr14:cNvPr>
            <xdr14:cNvContentPartPr/>
          </xdr14:nvContentPartPr>
          <xdr14:nvPr macro=""/>
          <xdr14:xfrm>
            <a:off x="7786896" y="9922692"/>
            <a:ext cx="97560" cy="91080"/>
          </xdr14:xfrm>
        </xdr:contentPart>
      </mc:Choice>
      <mc:Fallback xmlns="">
        <xdr:pic>
          <xdr:nvPicPr>
            <xdr:cNvPr id="381" name="Ink 380">
              <a:extLst>
                <a:ext uri="{FF2B5EF4-FFF2-40B4-BE49-F238E27FC236}">
                  <a16:creationId xmlns:a16="http://schemas.microsoft.com/office/drawing/2014/main" id="{5EAB94D2-BC87-E4B4-BD95-627F4F9590E9}"/>
                </a:ext>
                <a:ext uri="{147F2762-F138-4A5C-976F-8EAC2B608ADB}">
                  <a16:predDERef xmlns:a16="http://schemas.microsoft.com/office/drawing/2014/main" pred="{14F703BE-50E8-B767-9486-02F0C5C6B4ED}"/>
                </a:ext>
              </a:extLst>
            </xdr:cNvPr>
            <xdr:cNvPicPr/>
          </xdr:nvPicPr>
          <xdr:blipFill>
            <a:blip xmlns:r="http://schemas.openxmlformats.org/officeDocument/2006/relationships" r:embed="rId742"/>
            <a:stretch>
              <a:fillRect/>
            </a:stretch>
          </xdr:blipFill>
          <xdr:spPr>
            <a:xfrm>
              <a:off x="7277040" y="6974280"/>
              <a:ext cx="11880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815472</xdr:colOff>
      <xdr:row>53</xdr:row>
      <xdr:rowOff>157827</xdr:rowOff>
    </xdr:from>
    <xdr:to>
      <xdr:col>0</xdr:col>
      <xdr:colOff>884262</xdr:colOff>
      <xdr:row>53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EF6095FC-B4AC-EDFA-62CB-A39C1509ADD7}"/>
                </a:ext>
                <a:ext uri="{147F2762-F138-4A5C-976F-8EAC2B608ADB}">
                  <a16:predDERef xmlns:a16="http://schemas.microsoft.com/office/drawing/2014/main" pred="{5EAB94D2-BC87-E4B4-BD95-627F4F9590E9}"/>
                </a:ext>
              </a:extLst>
            </xdr14:cNvPr>
            <xdr14:cNvContentPartPr/>
          </xdr14:nvContentPartPr>
          <xdr14:nvPr macro=""/>
          <xdr14:xfrm>
            <a:off x="815472" y="11219117"/>
            <a:ext cx="87840" cy="1728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EF6095FC-B4AC-EDFA-62CB-A39C1509ADD7}"/>
                </a:ext>
                <a:ext uri="{147F2762-F138-4A5C-976F-8EAC2B608ADB}">
                  <a16:predDERef xmlns:a16="http://schemas.microsoft.com/office/drawing/2014/main" pred="{5EAB94D2-BC87-E4B4-BD95-627F4F9590E9}"/>
                </a:ext>
              </a:extLst>
            </xdr:cNvPr>
            <xdr:cNvPicPr/>
          </xdr:nvPicPr>
          <xdr:blipFill>
            <a:blip xmlns:r="http://schemas.openxmlformats.org/officeDocument/2006/relationships" r:embed="rId744"/>
            <a:stretch>
              <a:fillRect/>
            </a:stretch>
          </xdr:blipFill>
          <xdr:spPr>
            <a:xfrm>
              <a:off x="846000" y="8190360"/>
              <a:ext cx="1090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773352</xdr:colOff>
      <xdr:row>53</xdr:row>
      <xdr:rowOff>50187</xdr:rowOff>
    </xdr:from>
    <xdr:to>
      <xdr:col>0</xdr:col>
      <xdr:colOff>883707</xdr:colOff>
      <xdr:row>53</xdr:row>
      <xdr:rowOff>57387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5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C3144920-0E51-C44B-BC51-EFFE851888EC}"/>
                </a:ext>
                <a:ext uri="{147F2762-F138-4A5C-976F-8EAC2B608ADB}">
                  <a16:predDERef xmlns:a16="http://schemas.microsoft.com/office/drawing/2014/main" pred="{EF6095FC-B4AC-EDFA-62CB-A39C1509ADD7}"/>
                </a:ext>
              </a:extLst>
            </xdr14:cNvPr>
            <xdr14:cNvContentPartPr/>
          </xdr14:nvContentPartPr>
          <xdr14:nvPr macro=""/>
          <xdr14:xfrm>
            <a:off x="773352" y="11111477"/>
            <a:ext cx="119880" cy="720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C3144920-0E51-C44B-BC51-EFFE851888EC}"/>
                </a:ext>
                <a:ext uri="{147F2762-F138-4A5C-976F-8EAC2B608ADB}">
                  <a16:predDERef xmlns:a16="http://schemas.microsoft.com/office/drawing/2014/main" pred="{EF6095FC-B4AC-EDFA-62CB-A39C1509ADD7}"/>
                </a:ext>
              </a:extLst>
            </xdr:cNvPr>
            <xdr:cNvPicPr/>
          </xdr:nvPicPr>
          <xdr:blipFill>
            <a:blip xmlns:r="http://schemas.openxmlformats.org/officeDocument/2006/relationships" r:embed="rId746"/>
            <a:stretch>
              <a:fillRect/>
            </a:stretch>
          </xdr:blipFill>
          <xdr:spPr>
            <a:xfrm>
              <a:off x="803880" y="8083080"/>
              <a:ext cx="141120" cy="2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106692</xdr:colOff>
      <xdr:row>52</xdr:row>
      <xdr:rowOff>161054</xdr:rowOff>
    </xdr:from>
    <xdr:to>
      <xdr:col>1</xdr:col>
      <xdr:colOff>238092</xdr:colOff>
      <xdr:row>56</xdr:row>
      <xdr:rowOff>80823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7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321C26F0-1309-41C8-BC80-97DCFD96AEC9}"/>
                </a:ext>
                <a:ext uri="{147F2762-F138-4A5C-976F-8EAC2B608ADB}">
                  <a16:predDERef xmlns:a16="http://schemas.microsoft.com/office/drawing/2014/main" pred="{C3144920-0E51-C44B-BC51-EFFE851888EC}"/>
                </a:ext>
              </a:extLst>
            </xdr14:cNvPr>
            <xdr14:cNvContentPartPr/>
          </xdr14:nvContentPartPr>
          <xdr14:nvPr macro=""/>
          <xdr14:xfrm>
            <a:off x="1130886" y="11017506"/>
            <a:ext cx="131400" cy="739123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321C26F0-1309-41C8-BC80-97DCFD96AEC9}"/>
                </a:ext>
                <a:ext uri="{147F2762-F138-4A5C-976F-8EAC2B608ADB}">
                  <a16:predDERef xmlns:a16="http://schemas.microsoft.com/office/drawing/2014/main" pred="{C3144920-0E51-C44B-BC51-EFFE851888EC}"/>
                </a:ext>
              </a:extLst>
            </xdr:cNvPr>
            <xdr:cNvPicPr/>
          </xdr:nvPicPr>
          <xdr:blipFill>
            <a:blip xmlns:r="http://schemas.openxmlformats.org/officeDocument/2006/relationships" r:embed="rId748"/>
            <a:stretch>
              <a:fillRect/>
            </a:stretch>
          </xdr:blipFill>
          <xdr:spPr>
            <a:xfrm>
              <a:off x="1084320" y="8002440"/>
              <a:ext cx="152640" cy="70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259692</xdr:colOff>
      <xdr:row>53</xdr:row>
      <xdr:rowOff>130827</xdr:rowOff>
    </xdr:from>
    <xdr:to>
      <xdr:col>1</xdr:col>
      <xdr:colOff>362292</xdr:colOff>
      <xdr:row>56</xdr:row>
      <xdr:rowOff>13503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9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22E29F93-96DC-414A-04A1-0C1F4A2E7778}"/>
                </a:ext>
                <a:ext uri="{147F2762-F138-4A5C-976F-8EAC2B608ADB}">
                  <a16:predDERef xmlns:a16="http://schemas.microsoft.com/office/drawing/2014/main" pred="{321C26F0-1309-41C8-BC80-97DCFD96AEC9}"/>
                </a:ext>
              </a:extLst>
            </xdr14:cNvPr>
            <xdr14:cNvContentPartPr/>
          </xdr14:nvContentPartPr>
          <xdr14:nvPr macro=""/>
          <xdr14:xfrm>
            <a:off x="1283886" y="11192117"/>
            <a:ext cx="102600" cy="497192"/>
          </xdr14:xfrm>
        </xdr:contentPart>
      </mc:Choice>
      <mc:Fallback xmlns=""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22E29F93-96DC-414A-04A1-0C1F4A2E7778}"/>
                </a:ext>
                <a:ext uri="{147F2762-F138-4A5C-976F-8EAC2B608ADB}">
                  <a16:predDERef xmlns:a16="http://schemas.microsoft.com/office/drawing/2014/main" pred="{321C26F0-1309-41C8-BC80-97DCFD96AEC9}"/>
                </a:ext>
              </a:extLst>
            </xdr:cNvPr>
            <xdr:cNvPicPr/>
          </xdr:nvPicPr>
          <xdr:blipFill>
            <a:blip xmlns:r="http://schemas.openxmlformats.org/officeDocument/2006/relationships" r:embed="rId750"/>
            <a:stretch>
              <a:fillRect/>
            </a:stretch>
          </xdr:blipFill>
          <xdr:spPr>
            <a:xfrm>
              <a:off x="1237680" y="8163720"/>
              <a:ext cx="123840" cy="47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442572</xdr:colOff>
      <xdr:row>53</xdr:row>
      <xdr:rowOff>101667</xdr:rowOff>
    </xdr:from>
    <xdr:to>
      <xdr:col>1</xdr:col>
      <xdr:colOff>567132</xdr:colOff>
      <xdr:row>54</xdr:row>
      <xdr:rowOff>40119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1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4D0A6077-A2AF-97E5-6B43-F6E9B875C0B7}"/>
                </a:ext>
                <a:ext uri="{147F2762-F138-4A5C-976F-8EAC2B608ADB}">
                  <a16:predDERef xmlns:a16="http://schemas.microsoft.com/office/drawing/2014/main" pred="{22E29F93-96DC-414A-04A1-0C1F4A2E7778}"/>
                </a:ext>
              </a:extLst>
            </xdr14:cNvPr>
            <xdr14:cNvContentPartPr/>
          </xdr14:nvContentPartPr>
          <xdr14:nvPr macro=""/>
          <xdr14:xfrm>
            <a:off x="1466766" y="11162957"/>
            <a:ext cx="124560" cy="143291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4D0A6077-A2AF-97E5-6B43-F6E9B875C0B7}"/>
                </a:ext>
                <a:ext uri="{147F2762-F138-4A5C-976F-8EAC2B608ADB}">
                  <a16:predDERef xmlns:a16="http://schemas.microsoft.com/office/drawing/2014/main" pred="{22E29F93-96DC-414A-04A1-0C1F4A2E7778}"/>
                </a:ext>
              </a:extLst>
            </xdr:cNvPr>
            <xdr:cNvPicPr/>
          </xdr:nvPicPr>
          <xdr:blipFill>
            <a:blip xmlns:r="http://schemas.openxmlformats.org/officeDocument/2006/relationships" r:embed="rId752"/>
            <a:stretch>
              <a:fillRect/>
            </a:stretch>
          </xdr:blipFill>
          <xdr:spPr>
            <a:xfrm>
              <a:off x="1420560" y="8134560"/>
              <a:ext cx="14580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32810</xdr:colOff>
      <xdr:row>53</xdr:row>
      <xdr:rowOff>70347</xdr:rowOff>
    </xdr:from>
    <xdr:to>
      <xdr:col>2</xdr:col>
      <xdr:colOff>127130</xdr:colOff>
      <xdr:row>54</xdr:row>
      <xdr:rowOff>73959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3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76AB3E52-EB88-1DBB-ED26-7A7AF3EF7800}"/>
                </a:ext>
                <a:ext uri="{147F2762-F138-4A5C-976F-8EAC2B608ADB}">
                  <a16:predDERef xmlns:a16="http://schemas.microsoft.com/office/drawing/2014/main" pred="{4D0A6077-A2AF-97E5-6B43-F6E9B875C0B7}"/>
                </a:ext>
              </a:extLst>
            </xdr14:cNvPr>
            <xdr14:cNvContentPartPr/>
          </xdr14:nvContentPartPr>
          <xdr14:nvPr macro=""/>
          <xdr14:xfrm>
            <a:off x="1712487" y="11131637"/>
            <a:ext cx="94320" cy="208451"/>
          </xdr14:xfrm>
        </xdr:contentPart>
      </mc:Choice>
      <mc:Fallback xmlns=""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76AB3E52-EB88-1DBB-ED26-7A7AF3EF7800}"/>
                </a:ext>
                <a:ext uri="{147F2762-F138-4A5C-976F-8EAC2B608ADB}">
                  <a16:predDERef xmlns:a16="http://schemas.microsoft.com/office/drawing/2014/main" pred="{4D0A6077-A2AF-97E5-6B43-F6E9B875C0B7}"/>
                </a:ext>
              </a:extLst>
            </xdr:cNvPr>
            <xdr:cNvPicPr/>
          </xdr:nvPicPr>
          <xdr:blipFill>
            <a:blip xmlns:r="http://schemas.openxmlformats.org/officeDocument/2006/relationships" r:embed="rId754"/>
            <a:stretch>
              <a:fillRect/>
            </a:stretch>
          </xdr:blipFill>
          <xdr:spPr>
            <a:xfrm>
              <a:off x="1618560" y="8103240"/>
              <a:ext cx="11556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150530</xdr:colOff>
      <xdr:row>53</xdr:row>
      <xdr:rowOff>150987</xdr:rowOff>
    </xdr:from>
    <xdr:to>
      <xdr:col>2</xdr:col>
      <xdr:colOff>389210</xdr:colOff>
      <xdr:row>54</xdr:row>
      <xdr:rowOff>134439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5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1AC4B082-F3A7-482F-CF0D-E78E69ECFF95}"/>
                </a:ext>
                <a:ext uri="{147F2762-F138-4A5C-976F-8EAC2B608ADB}">
                  <a16:predDERef xmlns:a16="http://schemas.microsoft.com/office/drawing/2014/main" pred="{76AB3E52-EB88-1DBB-ED26-7A7AF3EF7800}"/>
                </a:ext>
              </a:extLst>
            </xdr14:cNvPr>
            <xdr14:cNvContentPartPr/>
          </xdr14:nvContentPartPr>
          <xdr14:nvPr macro=""/>
          <xdr14:xfrm>
            <a:off x="1830207" y="11212277"/>
            <a:ext cx="238680" cy="188291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1AC4B082-F3A7-482F-CF0D-E78E69ECFF95}"/>
                </a:ext>
                <a:ext uri="{147F2762-F138-4A5C-976F-8EAC2B608ADB}">
                  <a16:predDERef xmlns:a16="http://schemas.microsoft.com/office/drawing/2014/main" pred="{76AB3E52-EB88-1DBB-ED26-7A7AF3EF7800}"/>
                </a:ext>
              </a:extLst>
            </xdr:cNvPr>
            <xdr:cNvPicPr/>
          </xdr:nvPicPr>
          <xdr:blipFill>
            <a:blip xmlns:r="http://schemas.openxmlformats.org/officeDocument/2006/relationships" r:embed="rId756"/>
            <a:stretch>
              <a:fillRect/>
            </a:stretch>
          </xdr:blipFill>
          <xdr:spPr>
            <a:xfrm>
              <a:off x="1736280" y="8183880"/>
              <a:ext cx="25992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453012</xdr:colOff>
      <xdr:row>54</xdr:row>
      <xdr:rowOff>70359</xdr:rowOff>
    </xdr:from>
    <xdr:to>
      <xdr:col>2</xdr:col>
      <xdr:colOff>362210</xdr:colOff>
      <xdr:row>54</xdr:row>
      <xdr:rowOff>181599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7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6EB5C029-277C-BE85-3E93-2B720C321584}"/>
                </a:ext>
                <a:ext uri="{147F2762-F138-4A5C-976F-8EAC2B608ADB}">
                  <a16:predDERef xmlns:a16="http://schemas.microsoft.com/office/drawing/2014/main" pred="{1AC4B082-F3A7-482F-CF0D-E78E69ECFF95}"/>
                </a:ext>
              </a:extLst>
            </xdr14:cNvPr>
            <xdr14:cNvContentPartPr/>
          </xdr14:nvContentPartPr>
          <xdr14:nvPr macro=""/>
          <xdr14:xfrm>
            <a:off x="1477206" y="11336488"/>
            <a:ext cx="564681" cy="11124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6EB5C029-277C-BE85-3E93-2B720C321584}"/>
                </a:ext>
                <a:ext uri="{147F2762-F138-4A5C-976F-8EAC2B608ADB}">
                  <a16:predDERef xmlns:a16="http://schemas.microsoft.com/office/drawing/2014/main" pred="{1AC4B082-F3A7-482F-CF0D-E78E69ECFF95}"/>
                </a:ext>
              </a:extLst>
            </xdr:cNvPr>
            <xdr:cNvPicPr/>
          </xdr:nvPicPr>
          <xdr:blipFill>
            <a:blip xmlns:r="http://schemas.openxmlformats.org/officeDocument/2006/relationships" r:embed="rId758"/>
            <a:stretch>
              <a:fillRect/>
            </a:stretch>
          </xdr:blipFill>
          <xdr:spPr>
            <a:xfrm>
              <a:off x="1431000" y="8294760"/>
              <a:ext cx="53856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2570</xdr:colOff>
      <xdr:row>54</xdr:row>
      <xdr:rowOff>184479</xdr:rowOff>
    </xdr:from>
    <xdr:to>
      <xdr:col>2</xdr:col>
      <xdr:colOff>140810</xdr:colOff>
      <xdr:row>56</xdr:row>
      <xdr:rowOff>1983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9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4643B90B-9AFF-79EE-2F49-6EE90AB3E0B8}"/>
                </a:ext>
                <a:ext uri="{147F2762-F138-4A5C-976F-8EAC2B608ADB}">
                  <a16:predDERef xmlns:a16="http://schemas.microsoft.com/office/drawing/2014/main" pred="{6EB5C029-277C-BE85-3E93-2B720C321584}"/>
                </a:ext>
              </a:extLst>
            </xdr14:cNvPr>
            <xdr14:cNvContentPartPr/>
          </xdr14:nvContentPartPr>
          <xdr14:nvPr macro=""/>
          <xdr14:xfrm>
            <a:off x="1682247" y="11450608"/>
            <a:ext cx="138240" cy="227181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4643B90B-9AFF-79EE-2F49-6EE90AB3E0B8}"/>
                </a:ext>
                <a:ext uri="{147F2762-F138-4A5C-976F-8EAC2B608ADB}">
                  <a16:predDERef xmlns:a16="http://schemas.microsoft.com/office/drawing/2014/main" pred="{6EB5C029-277C-BE85-3E93-2B720C321584}"/>
                </a:ext>
              </a:extLst>
            </xdr:cNvPr>
            <xdr:cNvPicPr/>
          </xdr:nvPicPr>
          <xdr:blipFill>
            <a:blip xmlns:r="http://schemas.openxmlformats.org/officeDocument/2006/relationships" r:embed="rId760"/>
            <a:stretch>
              <a:fillRect/>
            </a:stretch>
          </xdr:blipFill>
          <xdr:spPr>
            <a:xfrm>
              <a:off x="1588320" y="8408880"/>
              <a:ext cx="15948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140450</xdr:colOff>
      <xdr:row>55</xdr:row>
      <xdr:rowOff>90530</xdr:rowOff>
    </xdr:from>
    <xdr:to>
      <xdr:col>2</xdr:col>
      <xdr:colOff>385970</xdr:colOff>
      <xdr:row>56</xdr:row>
      <xdr:rowOff>67143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1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E386F48A-6A1F-FF6E-133C-C5193651707B}"/>
                </a:ext>
                <a:ext uri="{147F2762-F138-4A5C-976F-8EAC2B608ADB}">
                  <a16:predDERef xmlns:a16="http://schemas.microsoft.com/office/drawing/2014/main" pred="{4643B90B-9AFF-79EE-2F49-6EE90AB3E0B8}"/>
                </a:ext>
              </a:extLst>
            </xdr14:cNvPr>
            <xdr14:cNvContentPartPr/>
          </xdr14:nvContentPartPr>
          <xdr14:nvPr macro=""/>
          <xdr14:xfrm>
            <a:off x="1820127" y="11561498"/>
            <a:ext cx="245520" cy="181451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E386F48A-6A1F-FF6E-133C-C5193651707B}"/>
                </a:ext>
                <a:ext uri="{147F2762-F138-4A5C-976F-8EAC2B608ADB}">
                  <a16:predDERef xmlns:a16="http://schemas.microsoft.com/office/drawing/2014/main" pred="{4643B90B-9AFF-79EE-2F49-6EE90AB3E0B8}"/>
                </a:ext>
              </a:extLst>
            </xdr:cNvPr>
            <xdr:cNvPicPr/>
          </xdr:nvPicPr>
          <xdr:blipFill>
            <a:blip xmlns:r="http://schemas.openxmlformats.org/officeDocument/2006/relationships" r:embed="rId762"/>
            <a:stretch>
              <a:fillRect/>
            </a:stretch>
          </xdr:blipFill>
          <xdr:spPr>
            <a:xfrm>
              <a:off x="1726200" y="8506440"/>
              <a:ext cx="26676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371930</xdr:colOff>
      <xdr:row>53</xdr:row>
      <xdr:rowOff>109227</xdr:rowOff>
    </xdr:from>
    <xdr:to>
      <xdr:col>2</xdr:col>
      <xdr:colOff>526730</xdr:colOff>
      <xdr:row>56</xdr:row>
      <xdr:rowOff>36543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3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2D45ECDF-66DE-3239-F964-0684A91548A6}"/>
                </a:ext>
                <a:ext uri="{147F2762-F138-4A5C-976F-8EAC2B608ADB}">
                  <a16:predDERef xmlns:a16="http://schemas.microsoft.com/office/drawing/2014/main" pred="{E386F48A-6A1F-FF6E-133C-C5193651707B}"/>
                </a:ext>
              </a:extLst>
            </xdr14:cNvPr>
            <xdr14:cNvContentPartPr/>
          </xdr14:nvContentPartPr>
          <xdr14:nvPr macro=""/>
          <xdr14:xfrm>
            <a:off x="2051607" y="11170517"/>
            <a:ext cx="154800" cy="541832"/>
          </xdr14:xfrm>
        </xdr:contentPart>
      </mc:Choice>
      <mc:Fallback xmlns=""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2D45ECDF-66DE-3239-F964-0684A91548A6}"/>
                </a:ext>
                <a:ext uri="{147F2762-F138-4A5C-976F-8EAC2B608ADB}">
                  <a16:predDERef xmlns:a16="http://schemas.microsoft.com/office/drawing/2014/main" pred="{E386F48A-6A1F-FF6E-133C-C5193651707B}"/>
                </a:ext>
              </a:extLst>
            </xdr:cNvPr>
            <xdr:cNvPicPr/>
          </xdr:nvPicPr>
          <xdr:blipFill>
            <a:blip xmlns:r="http://schemas.openxmlformats.org/officeDocument/2006/relationships" r:embed="rId764"/>
            <a:stretch>
              <a:fillRect/>
            </a:stretch>
          </xdr:blipFill>
          <xdr:spPr>
            <a:xfrm>
              <a:off x="1958040" y="8141760"/>
              <a:ext cx="176040" cy="52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5728</xdr:colOff>
      <xdr:row>53</xdr:row>
      <xdr:rowOff>26787</xdr:rowOff>
    </xdr:from>
    <xdr:to>
      <xdr:col>3</xdr:col>
      <xdr:colOff>103648</xdr:colOff>
      <xdr:row>53</xdr:row>
      <xdr:rowOff>121107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5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04CEC7FA-641F-7A23-E6FD-33C18DCA5192}"/>
                </a:ext>
                <a:ext uri="{147F2762-F138-4A5C-976F-8EAC2B608ADB}">
                  <a16:predDERef xmlns:a16="http://schemas.microsoft.com/office/drawing/2014/main" pred="{2D45ECDF-66DE-3239-F964-0684A91548A6}"/>
                </a:ext>
              </a:extLst>
            </xdr14:cNvPr>
            <xdr14:cNvContentPartPr/>
          </xdr14:nvContentPartPr>
          <xdr14:nvPr macro=""/>
          <xdr14:xfrm>
            <a:off x="2340889" y="11088077"/>
            <a:ext cx="97920" cy="9432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04CEC7FA-641F-7A23-E6FD-33C18DCA5192}"/>
                </a:ext>
                <a:ext uri="{147F2762-F138-4A5C-976F-8EAC2B608ADB}">
                  <a16:predDERef xmlns:a16="http://schemas.microsoft.com/office/drawing/2014/main" pred="{2D45ECDF-66DE-3239-F964-0684A91548A6}"/>
                </a:ext>
              </a:extLst>
            </xdr:cNvPr>
            <xdr:cNvPicPr/>
          </xdr:nvPicPr>
          <xdr:blipFill>
            <a:blip xmlns:r="http://schemas.openxmlformats.org/officeDocument/2006/relationships" r:embed="rId766"/>
            <a:stretch>
              <a:fillRect/>
            </a:stretch>
          </xdr:blipFill>
          <xdr:spPr>
            <a:xfrm>
              <a:off x="2199960" y="8059320"/>
              <a:ext cx="11916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281488</xdr:colOff>
      <xdr:row>54</xdr:row>
      <xdr:rowOff>100599</xdr:rowOff>
    </xdr:from>
    <xdr:to>
      <xdr:col>3</xdr:col>
      <xdr:colOff>385888</xdr:colOff>
      <xdr:row>54</xdr:row>
      <xdr:rowOff>131199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729E11B8-654D-A51C-0E6F-A631489E8409}"/>
                </a:ext>
                <a:ext uri="{147F2762-F138-4A5C-976F-8EAC2B608ADB}">
                  <a16:predDERef xmlns:a16="http://schemas.microsoft.com/office/drawing/2014/main" pred="{04CEC7FA-641F-7A23-E6FD-33C18DCA5192}"/>
                </a:ext>
              </a:extLst>
            </xdr14:cNvPr>
            <xdr14:cNvContentPartPr/>
          </xdr14:nvContentPartPr>
          <xdr14:nvPr macro=""/>
          <xdr14:xfrm>
            <a:off x="2616649" y="11366728"/>
            <a:ext cx="104400" cy="3060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729E11B8-654D-A51C-0E6F-A631489E8409}"/>
                </a:ext>
                <a:ext uri="{147F2762-F138-4A5C-976F-8EAC2B608ADB}">
                  <a16:predDERef xmlns:a16="http://schemas.microsoft.com/office/drawing/2014/main" pred="{04CEC7FA-641F-7A23-E6FD-33C18DCA5192}"/>
                </a:ext>
              </a:extLst>
            </xdr:cNvPr>
            <xdr:cNvPicPr/>
          </xdr:nvPicPr>
          <xdr:blipFill>
            <a:blip xmlns:r="http://schemas.openxmlformats.org/officeDocument/2006/relationships" r:embed="rId768"/>
            <a:stretch>
              <a:fillRect/>
            </a:stretch>
          </xdr:blipFill>
          <xdr:spPr>
            <a:xfrm>
              <a:off x="2475360" y="8325000"/>
              <a:ext cx="12564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345208</xdr:colOff>
      <xdr:row>54</xdr:row>
      <xdr:rowOff>67119</xdr:rowOff>
    </xdr:from>
    <xdr:to>
      <xdr:col>3</xdr:col>
      <xdr:colOff>355648</xdr:colOff>
      <xdr:row>55</xdr:row>
      <xdr:rowOff>3770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9">
          <xdr14:nvContentPartPr>
            <xdr14:cNvPr id="395" name="Ink 394">
              <a:extLst>
                <a:ext uri="{FF2B5EF4-FFF2-40B4-BE49-F238E27FC236}">
                  <a16:creationId xmlns:a16="http://schemas.microsoft.com/office/drawing/2014/main" id="{5B679A4F-3C1B-35F1-DD9D-990AF8429845}"/>
                </a:ext>
                <a:ext uri="{147F2762-F138-4A5C-976F-8EAC2B608ADB}">
                  <a16:predDERef xmlns:a16="http://schemas.microsoft.com/office/drawing/2014/main" pred="{729E11B8-654D-A51C-0E6F-A631489E8409}"/>
                </a:ext>
              </a:extLst>
            </xdr14:cNvPr>
            <xdr14:cNvContentPartPr/>
          </xdr14:nvContentPartPr>
          <xdr14:nvPr macro=""/>
          <xdr14:xfrm>
            <a:off x="2680369" y="11333248"/>
            <a:ext cx="10440" cy="141490"/>
          </xdr14:xfrm>
        </xdr:contentPart>
      </mc:Choice>
      <mc:Fallback xmlns="">
        <xdr:pic>
          <xdr:nvPicPr>
            <xdr:cNvPr id="395" name="Ink 394">
              <a:extLst>
                <a:ext uri="{FF2B5EF4-FFF2-40B4-BE49-F238E27FC236}">
                  <a16:creationId xmlns:a16="http://schemas.microsoft.com/office/drawing/2014/main" id="{5B679A4F-3C1B-35F1-DD9D-990AF8429845}"/>
                </a:ext>
                <a:ext uri="{147F2762-F138-4A5C-976F-8EAC2B608ADB}">
                  <a16:predDERef xmlns:a16="http://schemas.microsoft.com/office/drawing/2014/main" pred="{729E11B8-654D-A51C-0E6F-A631489E8409}"/>
                </a:ext>
              </a:extLst>
            </xdr:cNvPr>
            <xdr:cNvPicPr/>
          </xdr:nvPicPr>
          <xdr:blipFill>
            <a:blip xmlns:r="http://schemas.openxmlformats.org/officeDocument/2006/relationships" r:embed="rId770"/>
            <a:stretch>
              <a:fillRect/>
            </a:stretch>
          </xdr:blipFill>
          <xdr:spPr>
            <a:xfrm>
              <a:off x="2539440" y="8291160"/>
              <a:ext cx="3168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133267</xdr:colOff>
      <xdr:row>53</xdr:row>
      <xdr:rowOff>22848</xdr:rowOff>
    </xdr:from>
    <xdr:to>
      <xdr:col>4</xdr:col>
      <xdr:colOff>236947</xdr:colOff>
      <xdr:row>54</xdr:row>
      <xdr:rowOff>82690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1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B395992F-13DB-5578-9C74-8B77269862FC}"/>
                </a:ext>
                <a:ext uri="{147F2762-F138-4A5C-976F-8EAC2B608ADB}">
                  <a16:predDERef xmlns:a16="http://schemas.microsoft.com/office/drawing/2014/main" pred="{5B679A4F-3C1B-35F1-DD9D-990AF8429845}"/>
                </a:ext>
              </a:extLst>
            </xdr14:cNvPr>
            <xdr14:cNvContentPartPr/>
          </xdr14:nvContentPartPr>
          <xdr14:nvPr macro=""/>
          <xdr14:xfrm>
            <a:off x="3123912" y="11084138"/>
            <a:ext cx="103680" cy="264681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B395992F-13DB-5578-9C74-8B77269862FC}"/>
                </a:ext>
                <a:ext uri="{147F2762-F138-4A5C-976F-8EAC2B608ADB}">
                  <a16:predDERef xmlns:a16="http://schemas.microsoft.com/office/drawing/2014/main" pred="{5B679A4F-3C1B-35F1-DD9D-990AF8429845}"/>
                </a:ext>
              </a:extLst>
            </xdr:cNvPr>
            <xdr:cNvPicPr/>
          </xdr:nvPicPr>
          <xdr:blipFill>
            <a:blip xmlns:r="http://schemas.openxmlformats.org/officeDocument/2006/relationships" r:embed="rId772"/>
            <a:stretch>
              <a:fillRect/>
            </a:stretch>
          </xdr:blipFill>
          <xdr:spPr>
            <a:xfrm>
              <a:off x="2941560" y="7962120"/>
              <a:ext cx="1249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267187</xdr:colOff>
      <xdr:row>53</xdr:row>
      <xdr:rowOff>36888</xdr:rowOff>
    </xdr:from>
    <xdr:to>
      <xdr:col>4</xdr:col>
      <xdr:colOff>392827</xdr:colOff>
      <xdr:row>54</xdr:row>
      <xdr:rowOff>63970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3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52CB7158-5069-75A4-1DE7-402617489328}"/>
                </a:ext>
                <a:ext uri="{147F2762-F138-4A5C-976F-8EAC2B608ADB}">
                  <a16:predDERef xmlns:a16="http://schemas.microsoft.com/office/drawing/2014/main" pred="{B395992F-13DB-5578-9C74-8B77269862FC}"/>
                </a:ext>
              </a:extLst>
            </xdr14:cNvPr>
            <xdr14:cNvContentPartPr/>
          </xdr14:nvContentPartPr>
          <xdr14:nvPr macro=""/>
          <xdr14:xfrm>
            <a:off x="3257832" y="11098178"/>
            <a:ext cx="125640" cy="231921"/>
          </xdr14:xfrm>
        </xdr:contentPart>
      </mc:Choice>
      <mc:Fallback xmlns=""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52CB7158-5069-75A4-1DE7-402617489328}"/>
                </a:ext>
                <a:ext uri="{147F2762-F138-4A5C-976F-8EAC2B608ADB}">
                  <a16:predDERef xmlns:a16="http://schemas.microsoft.com/office/drawing/2014/main" pred="{B395992F-13DB-5578-9C74-8B77269862FC}"/>
                </a:ext>
              </a:extLst>
            </xdr:cNvPr>
            <xdr:cNvPicPr/>
          </xdr:nvPicPr>
          <xdr:blipFill>
            <a:blip xmlns:r="http://schemas.openxmlformats.org/officeDocument/2006/relationships" r:embed="rId774"/>
            <a:stretch>
              <a:fillRect/>
            </a:stretch>
          </xdr:blipFill>
          <xdr:spPr>
            <a:xfrm>
              <a:off x="3075840" y="7975800"/>
              <a:ext cx="146880" cy="23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432067</xdr:colOff>
      <xdr:row>53</xdr:row>
      <xdr:rowOff>109608</xdr:rowOff>
    </xdr:from>
    <xdr:to>
      <xdr:col>4</xdr:col>
      <xdr:colOff>523867</xdr:colOff>
      <xdr:row>53</xdr:row>
      <xdr:rowOff>118968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5">
          <xdr14:nvContentPartPr>
            <xdr14:cNvPr id="398" name="Ink 397">
              <a:extLst>
                <a:ext uri="{FF2B5EF4-FFF2-40B4-BE49-F238E27FC236}">
                  <a16:creationId xmlns:a16="http://schemas.microsoft.com/office/drawing/2014/main" id="{B75AAF83-9E91-9295-C997-1FE7A953E3EF}"/>
                </a:ext>
                <a:ext uri="{147F2762-F138-4A5C-976F-8EAC2B608ADB}">
                  <a16:predDERef xmlns:a16="http://schemas.microsoft.com/office/drawing/2014/main" pred="{52CB7158-5069-75A4-1DE7-402617489328}"/>
                </a:ext>
              </a:extLst>
            </xdr14:cNvPr>
            <xdr14:cNvContentPartPr/>
          </xdr14:nvContentPartPr>
          <xdr14:nvPr macro=""/>
          <xdr14:xfrm>
            <a:off x="3422712" y="11170898"/>
            <a:ext cx="91800" cy="9360"/>
          </xdr14:xfrm>
        </xdr:contentPart>
      </mc:Choice>
      <mc:Fallback xmlns="">
        <xdr:pic>
          <xdr:nvPicPr>
            <xdr:cNvPr id="398" name="Ink 397">
              <a:extLst>
                <a:ext uri="{FF2B5EF4-FFF2-40B4-BE49-F238E27FC236}">
                  <a16:creationId xmlns:a16="http://schemas.microsoft.com/office/drawing/2014/main" id="{B75AAF83-9E91-9295-C997-1FE7A953E3EF}"/>
                </a:ext>
                <a:ext uri="{147F2762-F138-4A5C-976F-8EAC2B608ADB}">
                  <a16:predDERef xmlns:a16="http://schemas.microsoft.com/office/drawing/2014/main" pred="{52CB7158-5069-75A4-1DE7-402617489328}"/>
                </a:ext>
              </a:extLst>
            </xdr:cNvPr>
            <xdr:cNvPicPr/>
          </xdr:nvPicPr>
          <xdr:blipFill>
            <a:blip xmlns:r="http://schemas.openxmlformats.org/officeDocument/2006/relationships" r:embed="rId776"/>
            <a:stretch>
              <a:fillRect/>
            </a:stretch>
          </xdr:blipFill>
          <xdr:spPr>
            <a:xfrm>
              <a:off x="3240360" y="8048880"/>
              <a:ext cx="11304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490027</xdr:colOff>
      <xdr:row>53</xdr:row>
      <xdr:rowOff>76128</xdr:rowOff>
    </xdr:from>
    <xdr:to>
      <xdr:col>4</xdr:col>
      <xdr:colOff>499387</xdr:colOff>
      <xdr:row>53</xdr:row>
      <xdr:rowOff>183408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7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61E83006-5B17-EE3E-56F7-7DA5AA46915E}"/>
                </a:ext>
                <a:ext uri="{147F2762-F138-4A5C-976F-8EAC2B608ADB}">
                  <a16:predDERef xmlns:a16="http://schemas.microsoft.com/office/drawing/2014/main" pred="{B75AAF83-9E91-9295-C997-1FE7A953E3EF}"/>
                </a:ext>
              </a:extLst>
            </xdr14:cNvPr>
            <xdr14:cNvContentPartPr/>
          </xdr14:nvContentPartPr>
          <xdr14:nvPr macro=""/>
          <xdr14:xfrm>
            <a:off x="3480672" y="11137418"/>
            <a:ext cx="9360" cy="1072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61E83006-5B17-EE3E-56F7-7DA5AA46915E}"/>
                </a:ext>
                <a:ext uri="{147F2762-F138-4A5C-976F-8EAC2B608ADB}">
                  <a16:predDERef xmlns:a16="http://schemas.microsoft.com/office/drawing/2014/main" pred="{B75AAF83-9E91-9295-C997-1FE7A953E3EF}"/>
                </a:ext>
              </a:extLst>
            </xdr:cNvPr>
            <xdr:cNvPicPr/>
          </xdr:nvPicPr>
          <xdr:blipFill>
            <a:blip xmlns:r="http://schemas.openxmlformats.org/officeDocument/2006/relationships" r:embed="rId778"/>
            <a:stretch>
              <a:fillRect/>
            </a:stretch>
          </xdr:blipFill>
          <xdr:spPr>
            <a:xfrm>
              <a:off x="3298680" y="8015400"/>
              <a:ext cx="306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575707</xdr:colOff>
      <xdr:row>53</xdr:row>
      <xdr:rowOff>19968</xdr:rowOff>
    </xdr:from>
    <xdr:to>
      <xdr:col>5</xdr:col>
      <xdr:colOff>35804</xdr:colOff>
      <xdr:row>54</xdr:row>
      <xdr:rowOff>21130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9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55AA1BEA-737C-DC51-D151-06ED8EF5C004}"/>
                </a:ext>
                <a:ext uri="{147F2762-F138-4A5C-976F-8EAC2B608ADB}">
                  <a16:predDERef xmlns:a16="http://schemas.microsoft.com/office/drawing/2014/main" pred="{61E83006-5B17-EE3E-56F7-7DA5AA46915E}"/>
                </a:ext>
              </a:extLst>
            </xdr14:cNvPr>
            <xdr14:cNvContentPartPr/>
          </xdr14:nvContentPartPr>
          <xdr14:nvPr macro=""/>
          <xdr14:xfrm>
            <a:off x="3566352" y="11081258"/>
            <a:ext cx="156549" cy="206001"/>
          </xdr14:xfrm>
        </xdr:contentPart>
      </mc:Choice>
      <mc:Fallback xmlns=""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55AA1BEA-737C-DC51-D151-06ED8EF5C004}"/>
                </a:ext>
                <a:ext uri="{147F2762-F138-4A5C-976F-8EAC2B608ADB}">
                  <a16:predDERef xmlns:a16="http://schemas.microsoft.com/office/drawing/2014/main" pred="{61E83006-5B17-EE3E-56F7-7DA5AA46915E}"/>
                </a:ext>
              </a:extLst>
            </xdr:cNvPr>
            <xdr:cNvPicPr/>
          </xdr:nvPicPr>
          <xdr:blipFill>
            <a:blip xmlns:r="http://schemas.openxmlformats.org/officeDocument/2006/relationships" r:embed="rId780"/>
            <a:stretch>
              <a:fillRect/>
            </a:stretch>
          </xdr:blipFill>
          <xdr:spPr>
            <a:xfrm>
              <a:off x="3384000" y="7958880"/>
              <a:ext cx="14076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56684</xdr:colOff>
      <xdr:row>53</xdr:row>
      <xdr:rowOff>121848</xdr:rowOff>
    </xdr:from>
    <xdr:to>
      <xdr:col>5</xdr:col>
      <xdr:colOff>115004</xdr:colOff>
      <xdr:row>54</xdr:row>
      <xdr:rowOff>58210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1">
          <xdr14:nvContentPartPr>
            <xdr14:cNvPr id="401" name="Ink 400">
              <a:extLst>
                <a:ext uri="{FF2B5EF4-FFF2-40B4-BE49-F238E27FC236}">
                  <a16:creationId xmlns:a16="http://schemas.microsoft.com/office/drawing/2014/main" id="{11BE9B42-E8CB-BF35-3893-4CDA646673DF}"/>
                </a:ext>
                <a:ext uri="{147F2762-F138-4A5C-976F-8EAC2B608ADB}">
                  <a16:predDERef xmlns:a16="http://schemas.microsoft.com/office/drawing/2014/main" pred="{55AA1BEA-737C-DC51-D151-06ED8EF5C004}"/>
                </a:ext>
              </a:extLst>
            </xdr14:cNvPr>
            <xdr14:cNvContentPartPr/>
          </xdr14:nvContentPartPr>
          <xdr14:nvPr macro=""/>
          <xdr14:xfrm>
            <a:off x="3743781" y="11183138"/>
            <a:ext cx="58320" cy="141201"/>
          </xdr14:xfrm>
        </xdr:contentPart>
      </mc:Choice>
      <mc:Fallback xmlns="">
        <xdr:pic>
          <xdr:nvPicPr>
            <xdr:cNvPr id="401" name="Ink 400">
              <a:extLst>
                <a:ext uri="{FF2B5EF4-FFF2-40B4-BE49-F238E27FC236}">
                  <a16:creationId xmlns:a16="http://schemas.microsoft.com/office/drawing/2014/main" id="{11BE9B42-E8CB-BF35-3893-4CDA646673DF}"/>
                </a:ext>
                <a:ext uri="{147F2762-F138-4A5C-976F-8EAC2B608ADB}">
                  <a16:predDERef xmlns:a16="http://schemas.microsoft.com/office/drawing/2014/main" pred="{55AA1BEA-737C-DC51-D151-06ED8EF5C004}"/>
                </a:ext>
              </a:extLst>
            </xdr:cNvPr>
            <xdr:cNvPicPr/>
          </xdr:nvPicPr>
          <xdr:blipFill>
            <a:blip xmlns:r="http://schemas.openxmlformats.org/officeDocument/2006/relationships" r:embed="rId782"/>
            <a:stretch>
              <a:fillRect/>
            </a:stretch>
          </xdr:blipFill>
          <xdr:spPr>
            <a:xfrm>
              <a:off x="3524400" y="8061120"/>
              <a:ext cx="7956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148124</xdr:colOff>
      <xdr:row>53</xdr:row>
      <xdr:rowOff>30408</xdr:rowOff>
    </xdr:from>
    <xdr:to>
      <xdr:col>5</xdr:col>
      <xdr:colOff>200324</xdr:colOff>
      <xdr:row>54</xdr:row>
      <xdr:rowOff>70450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3">
          <xdr14:nvContentPartPr>
            <xdr14:cNvPr id="402" name="Ink 401">
              <a:extLst>
                <a:ext uri="{FF2B5EF4-FFF2-40B4-BE49-F238E27FC236}">
                  <a16:creationId xmlns:a16="http://schemas.microsoft.com/office/drawing/2014/main" id="{8154C223-F6CB-2A98-A687-13093AB2600D}"/>
                </a:ext>
                <a:ext uri="{147F2762-F138-4A5C-976F-8EAC2B608ADB}">
                  <a16:predDERef xmlns:a16="http://schemas.microsoft.com/office/drawing/2014/main" pred="{11BE9B42-E8CB-BF35-3893-4CDA646673DF}"/>
                </a:ext>
              </a:extLst>
            </xdr14:cNvPr>
            <xdr14:cNvContentPartPr/>
          </xdr14:nvContentPartPr>
          <xdr14:nvPr macro=""/>
          <xdr14:xfrm>
            <a:off x="3835221" y="11091698"/>
            <a:ext cx="52200" cy="244881"/>
          </xdr14:xfrm>
        </xdr:contentPart>
      </mc:Choice>
      <mc:Fallback xmlns="">
        <xdr:pic>
          <xdr:nvPicPr>
            <xdr:cNvPr id="402" name="Ink 401">
              <a:extLst>
                <a:ext uri="{FF2B5EF4-FFF2-40B4-BE49-F238E27FC236}">
                  <a16:creationId xmlns:a16="http://schemas.microsoft.com/office/drawing/2014/main" id="{8154C223-F6CB-2A98-A687-13093AB2600D}"/>
                </a:ext>
                <a:ext uri="{147F2762-F138-4A5C-976F-8EAC2B608ADB}">
                  <a16:predDERef xmlns:a16="http://schemas.microsoft.com/office/drawing/2014/main" pred="{11BE9B42-E8CB-BF35-3893-4CDA646673DF}"/>
                </a:ext>
              </a:extLst>
            </xdr:cNvPr>
            <xdr:cNvPicPr/>
          </xdr:nvPicPr>
          <xdr:blipFill>
            <a:blip xmlns:r="http://schemas.openxmlformats.org/officeDocument/2006/relationships" r:embed="rId784"/>
            <a:stretch>
              <a:fillRect/>
            </a:stretch>
          </xdr:blipFill>
          <xdr:spPr>
            <a:xfrm>
              <a:off x="3616200" y="7969320"/>
              <a:ext cx="7344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242804</xdr:colOff>
      <xdr:row>52</xdr:row>
      <xdr:rowOff>152366</xdr:rowOff>
    </xdr:from>
    <xdr:to>
      <xdr:col>5</xdr:col>
      <xdr:colOff>325604</xdr:colOff>
      <xdr:row>53</xdr:row>
      <xdr:rowOff>42648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5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B4CA2F0B-0B24-F184-79AA-6B0517423A81}"/>
                </a:ext>
                <a:ext uri="{147F2762-F138-4A5C-976F-8EAC2B608ADB}">
                  <a16:predDERef xmlns:a16="http://schemas.microsoft.com/office/drawing/2014/main" pred="{8154C223-F6CB-2A98-A687-13093AB2600D}"/>
                </a:ext>
              </a:extLst>
            </xdr14:cNvPr>
            <xdr14:cNvContentPartPr/>
          </xdr14:nvContentPartPr>
          <xdr14:nvPr macro=""/>
          <xdr14:xfrm>
            <a:off x="3929901" y="11008818"/>
            <a:ext cx="82800" cy="95120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B4CA2F0B-0B24-F184-79AA-6B0517423A81}"/>
                </a:ext>
                <a:ext uri="{147F2762-F138-4A5C-976F-8EAC2B608ADB}">
                  <a16:predDERef xmlns:a16="http://schemas.microsoft.com/office/drawing/2014/main" pred="{8154C223-F6CB-2A98-A687-13093AB2600D}"/>
                </a:ext>
              </a:extLst>
            </xdr:cNvPr>
            <xdr:cNvPicPr/>
          </xdr:nvPicPr>
          <xdr:blipFill>
            <a:blip xmlns:r="http://schemas.openxmlformats.org/officeDocument/2006/relationships" r:embed="rId786"/>
            <a:stretch>
              <a:fillRect/>
            </a:stretch>
          </xdr:blipFill>
          <xdr:spPr>
            <a:xfrm>
              <a:off x="3710520" y="7902360"/>
              <a:ext cx="10404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438284</xdr:colOff>
      <xdr:row>53</xdr:row>
      <xdr:rowOff>7368</xdr:rowOff>
    </xdr:from>
    <xdr:to>
      <xdr:col>5</xdr:col>
      <xdr:colOff>505964</xdr:colOff>
      <xdr:row>54</xdr:row>
      <xdr:rowOff>50650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7">
          <xdr14:nvContentPartPr>
            <xdr14:cNvPr id="404" name="Ink 403">
              <a:extLst>
                <a:ext uri="{FF2B5EF4-FFF2-40B4-BE49-F238E27FC236}">
                  <a16:creationId xmlns:a16="http://schemas.microsoft.com/office/drawing/2014/main" id="{65767F1C-E0B8-CDE1-585E-210D755D889E}"/>
                </a:ext>
                <a:ext uri="{147F2762-F138-4A5C-976F-8EAC2B608ADB}">
                  <a16:predDERef xmlns:a16="http://schemas.microsoft.com/office/drawing/2014/main" pred="{B4CA2F0B-0B24-F184-79AA-6B0517423A81}"/>
                </a:ext>
              </a:extLst>
            </xdr14:cNvPr>
            <xdr14:cNvContentPartPr/>
          </xdr14:nvContentPartPr>
          <xdr14:nvPr macro=""/>
          <xdr14:xfrm>
            <a:off x="4125381" y="11068658"/>
            <a:ext cx="67680" cy="248121"/>
          </xdr14:xfrm>
        </xdr:contentPart>
      </mc:Choice>
      <mc:Fallback xmlns="">
        <xdr:pic>
          <xdr:nvPicPr>
            <xdr:cNvPr id="404" name="Ink 403">
              <a:extLst>
                <a:ext uri="{FF2B5EF4-FFF2-40B4-BE49-F238E27FC236}">
                  <a16:creationId xmlns:a16="http://schemas.microsoft.com/office/drawing/2014/main" id="{65767F1C-E0B8-CDE1-585E-210D755D889E}"/>
                </a:ext>
                <a:ext uri="{147F2762-F138-4A5C-976F-8EAC2B608ADB}">
                  <a16:predDERef xmlns:a16="http://schemas.microsoft.com/office/drawing/2014/main" pred="{B4CA2F0B-0B24-F184-79AA-6B0517423A81}"/>
                </a:ext>
              </a:extLst>
            </xdr:cNvPr>
            <xdr:cNvPicPr/>
          </xdr:nvPicPr>
          <xdr:blipFill>
            <a:blip xmlns:r="http://schemas.openxmlformats.org/officeDocument/2006/relationships" r:embed="rId788"/>
            <a:stretch>
              <a:fillRect/>
            </a:stretch>
          </xdr:blipFill>
          <xdr:spPr>
            <a:xfrm>
              <a:off x="3906000" y="7946280"/>
              <a:ext cx="88920" cy="25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544844</xdr:colOff>
      <xdr:row>53</xdr:row>
      <xdr:rowOff>73248</xdr:rowOff>
    </xdr:from>
    <xdr:to>
      <xdr:col>6</xdr:col>
      <xdr:colOff>114627</xdr:colOff>
      <xdr:row>53</xdr:row>
      <xdr:rowOff>183048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9">
          <xdr14:nvContentPartPr>
            <xdr14:cNvPr id="405" name="Ink 404">
              <a:extLst>
                <a:ext uri="{FF2B5EF4-FFF2-40B4-BE49-F238E27FC236}">
                  <a16:creationId xmlns:a16="http://schemas.microsoft.com/office/drawing/2014/main" id="{B452199D-6556-CB2B-6F9E-48AE9DB14943}"/>
                </a:ext>
                <a:ext uri="{147F2762-F138-4A5C-976F-8EAC2B608ADB}">
                  <a16:predDERef xmlns:a16="http://schemas.microsoft.com/office/drawing/2014/main" pred="{65767F1C-E0B8-CDE1-585E-210D755D889E}"/>
                </a:ext>
              </a:extLst>
            </xdr14:cNvPr>
            <xdr14:cNvContentPartPr/>
          </xdr14:nvContentPartPr>
          <xdr14:nvPr macro=""/>
          <xdr14:xfrm>
            <a:off x="4231941" y="11134538"/>
            <a:ext cx="225267" cy="109800"/>
          </xdr14:xfrm>
        </xdr:contentPart>
      </mc:Choice>
      <mc:Fallback xmlns="">
        <xdr:pic>
          <xdr:nvPicPr>
            <xdr:cNvPr id="405" name="Ink 404">
              <a:extLst>
                <a:ext uri="{FF2B5EF4-FFF2-40B4-BE49-F238E27FC236}">
                  <a16:creationId xmlns:a16="http://schemas.microsoft.com/office/drawing/2014/main" id="{B452199D-6556-CB2B-6F9E-48AE9DB14943}"/>
                </a:ext>
                <a:ext uri="{147F2762-F138-4A5C-976F-8EAC2B608ADB}">
                  <a16:predDERef xmlns:a16="http://schemas.microsoft.com/office/drawing/2014/main" pred="{65767F1C-E0B8-CDE1-585E-210D755D889E}"/>
                </a:ext>
              </a:extLst>
            </xdr:cNvPr>
            <xdr:cNvPicPr/>
          </xdr:nvPicPr>
          <xdr:blipFill>
            <a:blip xmlns:r="http://schemas.openxmlformats.org/officeDocument/2006/relationships" r:embed="rId790"/>
            <a:stretch>
              <a:fillRect/>
            </a:stretch>
          </xdr:blipFill>
          <xdr:spPr>
            <a:xfrm>
              <a:off x="4012920" y="8012160"/>
              <a:ext cx="201600" cy="13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126867</xdr:colOff>
      <xdr:row>53</xdr:row>
      <xdr:rowOff>3048</xdr:rowOff>
    </xdr:from>
    <xdr:to>
      <xdr:col>6</xdr:col>
      <xdr:colOff>215787</xdr:colOff>
      <xdr:row>54</xdr:row>
      <xdr:rowOff>30490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1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06132D9A-968C-0F3B-8B2C-AECCA1C43DA9}"/>
                </a:ext>
                <a:ext uri="{147F2762-F138-4A5C-976F-8EAC2B608ADB}">
                  <a16:predDERef xmlns:a16="http://schemas.microsoft.com/office/drawing/2014/main" pred="{B452199D-6556-CB2B-6F9E-48AE9DB14943}"/>
                </a:ext>
              </a:extLst>
            </xdr14:cNvPr>
            <xdr14:cNvContentPartPr/>
          </xdr14:nvContentPartPr>
          <xdr14:nvPr macro=""/>
          <xdr14:xfrm>
            <a:off x="4469448" y="11064338"/>
            <a:ext cx="88920" cy="232281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06132D9A-968C-0F3B-8B2C-AECCA1C43DA9}"/>
                </a:ext>
                <a:ext uri="{147F2762-F138-4A5C-976F-8EAC2B608ADB}">
                  <a16:predDERef xmlns:a16="http://schemas.microsoft.com/office/drawing/2014/main" pred="{B452199D-6556-CB2B-6F9E-48AE9DB14943}"/>
                </a:ext>
              </a:extLst>
            </xdr:cNvPr>
            <xdr:cNvPicPr/>
          </xdr:nvPicPr>
          <xdr:blipFill>
            <a:blip xmlns:r="http://schemas.openxmlformats.org/officeDocument/2006/relationships" r:embed="rId792"/>
            <a:stretch>
              <a:fillRect/>
            </a:stretch>
          </xdr:blipFill>
          <xdr:spPr>
            <a:xfrm>
              <a:off x="4205160" y="7942320"/>
              <a:ext cx="11016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239547</xdr:colOff>
      <xdr:row>53</xdr:row>
      <xdr:rowOff>116088</xdr:rowOff>
    </xdr:from>
    <xdr:to>
      <xdr:col>6</xdr:col>
      <xdr:colOff>285627</xdr:colOff>
      <xdr:row>54</xdr:row>
      <xdr:rowOff>51730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3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05F778FE-4877-7C23-4DFB-40712255A767}"/>
                </a:ext>
                <a:ext uri="{147F2762-F138-4A5C-976F-8EAC2B608ADB}">
                  <a16:predDERef xmlns:a16="http://schemas.microsoft.com/office/drawing/2014/main" pred="{06132D9A-968C-0F3B-8B2C-AECCA1C43DA9}"/>
                </a:ext>
              </a:extLst>
            </xdr14:cNvPr>
            <xdr14:cNvContentPartPr/>
          </xdr14:nvContentPartPr>
          <xdr14:nvPr macro=""/>
          <xdr14:xfrm>
            <a:off x="4582128" y="11177378"/>
            <a:ext cx="46080" cy="140481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05F778FE-4877-7C23-4DFB-40712255A767}"/>
                </a:ext>
                <a:ext uri="{147F2762-F138-4A5C-976F-8EAC2B608ADB}">
                  <a16:predDERef xmlns:a16="http://schemas.microsoft.com/office/drawing/2014/main" pred="{06132D9A-968C-0F3B-8B2C-AECCA1C43DA9}"/>
                </a:ext>
              </a:extLst>
            </xdr:cNvPr>
            <xdr:cNvPicPr/>
          </xdr:nvPicPr>
          <xdr:blipFill>
            <a:blip xmlns:r="http://schemas.openxmlformats.org/officeDocument/2006/relationships" r:embed="rId794"/>
            <a:stretch>
              <a:fillRect/>
            </a:stretch>
          </xdr:blipFill>
          <xdr:spPr>
            <a:xfrm>
              <a:off x="4318200" y="8055360"/>
              <a:ext cx="6732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349707</xdr:colOff>
      <xdr:row>52</xdr:row>
      <xdr:rowOff>177206</xdr:rowOff>
    </xdr:from>
    <xdr:to>
      <xdr:col>6</xdr:col>
      <xdr:colOff>401907</xdr:colOff>
      <xdr:row>54</xdr:row>
      <xdr:rowOff>26170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5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0BCFA691-A9CC-82CC-6B44-5F194FE06C4E}"/>
                </a:ext>
                <a:ext uri="{147F2762-F138-4A5C-976F-8EAC2B608ADB}">
                  <a16:predDERef xmlns:a16="http://schemas.microsoft.com/office/drawing/2014/main" pred="{05F778FE-4877-7C23-4DFB-40712255A767}"/>
                </a:ext>
              </a:extLst>
            </xdr14:cNvPr>
            <xdr14:cNvContentPartPr/>
          </xdr14:nvContentPartPr>
          <xdr14:nvPr macro=""/>
          <xdr14:xfrm>
            <a:off x="4692288" y="11033658"/>
            <a:ext cx="52200" cy="258641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0BCFA691-A9CC-82CC-6B44-5F194FE06C4E}"/>
                </a:ext>
                <a:ext uri="{147F2762-F138-4A5C-976F-8EAC2B608ADB}">
                  <a16:predDERef xmlns:a16="http://schemas.microsoft.com/office/drawing/2014/main" pred="{05F778FE-4877-7C23-4DFB-40712255A767}"/>
                </a:ext>
              </a:extLst>
            </xdr:cNvPr>
            <xdr:cNvPicPr/>
          </xdr:nvPicPr>
          <xdr:blipFill>
            <a:blip xmlns:r="http://schemas.openxmlformats.org/officeDocument/2006/relationships" r:embed="rId796"/>
            <a:stretch>
              <a:fillRect/>
            </a:stretch>
          </xdr:blipFill>
          <xdr:spPr>
            <a:xfrm>
              <a:off x="4428000" y="7927200"/>
              <a:ext cx="7344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483987</xdr:colOff>
      <xdr:row>52</xdr:row>
      <xdr:rowOff>127886</xdr:rowOff>
    </xdr:from>
    <xdr:to>
      <xdr:col>6</xdr:col>
      <xdr:colOff>581907</xdr:colOff>
      <xdr:row>53</xdr:row>
      <xdr:rowOff>15288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7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AC9F5EEB-3651-9CB8-67A5-5DDD2803DC0C}"/>
                </a:ext>
                <a:ext uri="{147F2762-F138-4A5C-976F-8EAC2B608ADB}">
                  <a16:predDERef xmlns:a16="http://schemas.microsoft.com/office/drawing/2014/main" pred="{0BCFA691-A9CC-82CC-6B44-5F194FE06C4E}"/>
                </a:ext>
              </a:extLst>
            </xdr14:cNvPr>
            <xdr14:cNvContentPartPr/>
          </xdr14:nvContentPartPr>
          <xdr14:nvPr macro=""/>
          <xdr14:xfrm>
            <a:off x="4826568" y="10984338"/>
            <a:ext cx="97920" cy="9224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AC9F5EEB-3651-9CB8-67A5-5DDD2803DC0C}"/>
                </a:ext>
                <a:ext uri="{147F2762-F138-4A5C-976F-8EAC2B608ADB}">
                  <a16:predDERef xmlns:a16="http://schemas.microsoft.com/office/drawing/2014/main" pred="{0BCFA691-A9CC-82CC-6B44-5F194FE06C4E}"/>
                </a:ext>
              </a:extLst>
            </xdr:cNvPr>
            <xdr:cNvPicPr/>
          </xdr:nvPicPr>
          <xdr:blipFill>
            <a:blip xmlns:r="http://schemas.openxmlformats.org/officeDocument/2006/relationships" r:embed="rId798"/>
            <a:stretch>
              <a:fillRect/>
            </a:stretch>
          </xdr:blipFill>
          <xdr:spPr>
            <a:xfrm>
              <a:off x="4562280" y="7877880"/>
              <a:ext cx="11916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99427</xdr:colOff>
      <xdr:row>54</xdr:row>
      <xdr:rowOff>42730</xdr:rowOff>
    </xdr:from>
    <xdr:to>
      <xdr:col>6</xdr:col>
      <xdr:colOff>554547</xdr:colOff>
      <xdr:row>54</xdr:row>
      <xdr:rowOff>143890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9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9E68D99C-88E1-A195-65A5-887D9D50130D}"/>
                </a:ext>
                <a:ext uri="{147F2762-F138-4A5C-976F-8EAC2B608ADB}">
                  <a16:predDERef xmlns:a16="http://schemas.microsoft.com/office/drawing/2014/main" pred="{AC9F5EEB-3651-9CB8-67A5-5DDD2803DC0C}"/>
                </a:ext>
              </a:extLst>
            </xdr14:cNvPr>
            <xdr14:cNvContentPartPr/>
          </xdr14:nvContentPartPr>
          <xdr14:nvPr macro=""/>
          <xdr14:xfrm>
            <a:off x="3090072" y="11308859"/>
            <a:ext cx="1807056" cy="10116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9E68D99C-88E1-A195-65A5-887D9D50130D}"/>
                </a:ext>
                <a:ext uri="{147F2762-F138-4A5C-976F-8EAC2B608ADB}">
                  <a16:predDERef xmlns:a16="http://schemas.microsoft.com/office/drawing/2014/main" pred="{AC9F5EEB-3651-9CB8-67A5-5DDD2803DC0C}"/>
                </a:ext>
              </a:extLst>
            </xdr:cNvPr>
            <xdr:cNvPicPr/>
          </xdr:nvPicPr>
          <xdr:blipFill>
            <a:blip xmlns:r="http://schemas.openxmlformats.org/officeDocument/2006/relationships" r:embed="rId800"/>
            <a:stretch>
              <a:fillRect/>
            </a:stretch>
          </xdr:blipFill>
          <xdr:spPr>
            <a:xfrm>
              <a:off x="2907720" y="8170920"/>
              <a:ext cx="174636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93044</xdr:colOff>
      <xdr:row>55</xdr:row>
      <xdr:rowOff>30570</xdr:rowOff>
    </xdr:from>
    <xdr:to>
      <xdr:col>5</xdr:col>
      <xdr:colOff>215444</xdr:colOff>
      <xdr:row>56</xdr:row>
      <xdr:rowOff>39292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1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4365FBF3-56A4-01DD-E491-08C754280FA3}"/>
                </a:ext>
                <a:ext uri="{147F2762-F138-4A5C-976F-8EAC2B608ADB}">
                  <a16:predDERef xmlns:a16="http://schemas.microsoft.com/office/drawing/2014/main" pred="{9E68D99C-88E1-A195-65A5-887D9D50130D}"/>
                </a:ext>
              </a:extLst>
            </xdr14:cNvPr>
            <xdr14:cNvContentPartPr/>
          </xdr14:nvContentPartPr>
          <xdr14:nvPr macro=""/>
          <xdr14:xfrm>
            <a:off x="3780141" y="11501538"/>
            <a:ext cx="122400" cy="21356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4365FBF3-56A4-01DD-E491-08C754280FA3}"/>
                </a:ext>
                <a:ext uri="{147F2762-F138-4A5C-976F-8EAC2B608ADB}">
                  <a16:predDERef xmlns:a16="http://schemas.microsoft.com/office/drawing/2014/main" pred="{9E68D99C-88E1-A195-65A5-887D9D50130D}"/>
                </a:ext>
              </a:extLst>
            </xdr:cNvPr>
            <xdr:cNvPicPr/>
          </xdr:nvPicPr>
          <xdr:blipFill>
            <a:blip xmlns:r="http://schemas.openxmlformats.org/officeDocument/2006/relationships" r:embed="rId802"/>
            <a:stretch>
              <a:fillRect/>
            </a:stretch>
          </xdr:blipFill>
          <xdr:spPr>
            <a:xfrm>
              <a:off x="3561120" y="8348400"/>
              <a:ext cx="14364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248924</xdr:colOff>
      <xdr:row>55</xdr:row>
      <xdr:rowOff>122010</xdr:rowOff>
    </xdr:from>
    <xdr:to>
      <xdr:col>5</xdr:col>
      <xdr:colOff>322724</xdr:colOff>
      <xdr:row>56</xdr:row>
      <xdr:rowOff>73132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3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172852DE-0332-6435-5E6F-D321EA41B76C}"/>
                </a:ext>
                <a:ext uri="{147F2762-F138-4A5C-976F-8EAC2B608ADB}">
                  <a16:predDERef xmlns:a16="http://schemas.microsoft.com/office/drawing/2014/main" pred="{4365FBF3-56A4-01DD-E491-08C754280FA3}"/>
                </a:ext>
              </a:extLst>
            </xdr14:cNvPr>
            <xdr14:cNvContentPartPr/>
          </xdr14:nvContentPartPr>
          <xdr14:nvPr macro=""/>
          <xdr14:xfrm>
            <a:off x="3936021" y="11592978"/>
            <a:ext cx="73800" cy="15596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172852DE-0332-6435-5E6F-D321EA41B76C}"/>
                </a:ext>
                <a:ext uri="{147F2762-F138-4A5C-976F-8EAC2B608ADB}">
                  <a16:predDERef xmlns:a16="http://schemas.microsoft.com/office/drawing/2014/main" pred="{4365FBF3-56A4-01DD-E491-08C754280FA3}"/>
                </a:ext>
              </a:extLst>
            </xdr:cNvPr>
            <xdr:cNvPicPr/>
          </xdr:nvPicPr>
          <xdr:blipFill>
            <a:blip xmlns:r="http://schemas.openxmlformats.org/officeDocument/2006/relationships" r:embed="rId804"/>
            <a:stretch>
              <a:fillRect/>
            </a:stretch>
          </xdr:blipFill>
          <xdr:spPr>
            <a:xfrm>
              <a:off x="3716640" y="8439480"/>
              <a:ext cx="9504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383204</xdr:colOff>
      <xdr:row>54</xdr:row>
      <xdr:rowOff>128050</xdr:rowOff>
    </xdr:from>
    <xdr:to>
      <xdr:col>5</xdr:col>
      <xdr:colOff>471764</xdr:colOff>
      <xdr:row>55</xdr:row>
      <xdr:rowOff>46050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5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2295786E-C027-63FB-627F-2B1448C6E585}"/>
                </a:ext>
                <a:ext uri="{147F2762-F138-4A5C-976F-8EAC2B608ADB}">
                  <a16:predDERef xmlns:a16="http://schemas.microsoft.com/office/drawing/2014/main" pred="{172852DE-0332-6435-5E6F-D321EA41B76C}"/>
                </a:ext>
              </a:extLst>
            </xdr14:cNvPr>
            <xdr14:cNvContentPartPr/>
          </xdr14:nvContentPartPr>
          <xdr14:nvPr macro=""/>
          <xdr14:xfrm>
            <a:off x="4070301" y="11394179"/>
            <a:ext cx="88560" cy="122839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2295786E-C027-63FB-627F-2B1448C6E585}"/>
                </a:ext>
                <a:ext uri="{147F2762-F138-4A5C-976F-8EAC2B608ADB}">
                  <a16:predDERef xmlns:a16="http://schemas.microsoft.com/office/drawing/2014/main" pred="{172852DE-0332-6435-5E6F-D321EA41B76C}"/>
                </a:ext>
              </a:extLst>
            </xdr:cNvPr>
            <xdr:cNvPicPr/>
          </xdr:nvPicPr>
          <xdr:blipFill>
            <a:blip xmlns:r="http://schemas.openxmlformats.org/officeDocument/2006/relationships" r:embed="rId806"/>
            <a:stretch>
              <a:fillRect/>
            </a:stretch>
          </xdr:blipFill>
          <xdr:spPr>
            <a:xfrm>
              <a:off x="3850920" y="8256240"/>
              <a:ext cx="1098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426044</xdr:colOff>
      <xdr:row>54</xdr:row>
      <xdr:rowOff>170890</xdr:rowOff>
    </xdr:from>
    <xdr:to>
      <xdr:col>5</xdr:col>
      <xdr:colOff>444764</xdr:colOff>
      <xdr:row>55</xdr:row>
      <xdr:rowOff>101130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7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7410A6C3-57E1-19F9-081C-8771DAEE0B6C}"/>
                </a:ext>
                <a:ext uri="{147F2762-F138-4A5C-976F-8EAC2B608ADB}">
                  <a16:predDERef xmlns:a16="http://schemas.microsoft.com/office/drawing/2014/main" pred="{2295786E-C027-63FB-627F-2B1448C6E585}"/>
                </a:ext>
              </a:extLst>
            </xdr14:cNvPr>
            <xdr14:cNvContentPartPr/>
          </xdr14:nvContentPartPr>
          <xdr14:nvPr macro=""/>
          <xdr14:xfrm>
            <a:off x="4113141" y="11437019"/>
            <a:ext cx="18720" cy="135079"/>
          </xdr14:xfrm>
        </xdr:contentPart>
      </mc:Choice>
      <mc:Fallback xmlns=""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7410A6C3-57E1-19F9-081C-8771DAEE0B6C}"/>
                </a:ext>
                <a:ext uri="{147F2762-F138-4A5C-976F-8EAC2B608ADB}">
                  <a16:predDERef xmlns:a16="http://schemas.microsoft.com/office/drawing/2014/main" pred="{2295786E-C027-63FB-627F-2B1448C6E585}"/>
                </a:ext>
              </a:extLst>
            </xdr:cNvPr>
            <xdr:cNvPicPr/>
          </xdr:nvPicPr>
          <xdr:blipFill>
            <a:blip xmlns:r="http://schemas.openxmlformats.org/officeDocument/2006/relationships" r:embed="rId808"/>
            <a:stretch>
              <a:fillRect/>
            </a:stretch>
          </xdr:blipFill>
          <xdr:spPr>
            <a:xfrm>
              <a:off x="3893760" y="8299080"/>
              <a:ext cx="3996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48622</xdr:colOff>
      <xdr:row>53</xdr:row>
      <xdr:rowOff>177480</xdr:rowOff>
    </xdr:from>
    <xdr:to>
      <xdr:col>7</xdr:col>
      <xdr:colOff>176422</xdr:colOff>
      <xdr:row>54</xdr:row>
      <xdr:rowOff>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9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15DB1672-631B-AA15-A8D2-2CB1FA1A4DD4}"/>
                </a:ext>
                <a:ext uri="{147F2762-F138-4A5C-976F-8EAC2B608ADB}">
                  <a16:predDERef xmlns:a16="http://schemas.microsoft.com/office/drawing/2014/main" pred="{7410A6C3-57E1-19F9-081C-8771DAEE0B6C}"/>
                </a:ext>
              </a:extLst>
            </xdr14:cNvPr>
            <xdr14:cNvContentPartPr/>
          </xdr14:nvContentPartPr>
          <xdr14:nvPr macro=""/>
          <xdr14:xfrm>
            <a:off x="5087654" y="11238770"/>
            <a:ext cx="127800" cy="30539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15DB1672-631B-AA15-A8D2-2CB1FA1A4DD4}"/>
                </a:ext>
                <a:ext uri="{147F2762-F138-4A5C-976F-8EAC2B608ADB}">
                  <a16:predDERef xmlns:a16="http://schemas.microsoft.com/office/drawing/2014/main" pred="{7410A6C3-57E1-19F9-081C-8771DAEE0B6C}"/>
                </a:ext>
              </a:extLst>
            </xdr:cNvPr>
            <xdr:cNvPicPr/>
          </xdr:nvPicPr>
          <xdr:blipFill>
            <a:blip xmlns:r="http://schemas.openxmlformats.org/officeDocument/2006/relationships" r:embed="rId810"/>
            <a:stretch>
              <a:fillRect/>
            </a:stretch>
          </xdr:blipFill>
          <xdr:spPr>
            <a:xfrm>
              <a:off x="4771440" y="8168040"/>
              <a:ext cx="14904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120622</xdr:colOff>
      <xdr:row>53</xdr:row>
      <xdr:rowOff>133200</xdr:rowOff>
    </xdr:from>
    <xdr:to>
      <xdr:col>7</xdr:col>
      <xdr:colOff>140062</xdr:colOff>
      <xdr:row>54</xdr:row>
      <xdr:rowOff>95340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1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02006512-1713-2647-2746-E7FFE0E9AE92}"/>
                </a:ext>
                <a:ext uri="{147F2762-F138-4A5C-976F-8EAC2B608ADB}">
                  <a16:predDERef xmlns:a16="http://schemas.microsoft.com/office/drawing/2014/main" pred="{15DB1672-631B-AA15-A8D2-2CB1FA1A4DD4}"/>
                </a:ext>
              </a:extLst>
            </xdr14:cNvPr>
            <xdr14:cNvContentPartPr/>
          </xdr14:nvContentPartPr>
          <xdr14:nvPr macro=""/>
          <xdr14:xfrm>
            <a:off x="5159654" y="11194490"/>
            <a:ext cx="19440" cy="166979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02006512-1713-2647-2746-E7FFE0E9AE92}"/>
                </a:ext>
                <a:ext uri="{147F2762-F138-4A5C-976F-8EAC2B608ADB}">
                  <a16:predDERef xmlns:a16="http://schemas.microsoft.com/office/drawing/2014/main" pred="{15DB1672-631B-AA15-A8D2-2CB1FA1A4DD4}"/>
                </a:ext>
              </a:extLst>
            </xdr:cNvPr>
            <xdr:cNvPicPr/>
          </xdr:nvPicPr>
          <xdr:blipFill>
            <a:blip xmlns:r="http://schemas.openxmlformats.org/officeDocument/2006/relationships" r:embed="rId812"/>
            <a:stretch>
              <a:fillRect/>
            </a:stretch>
          </xdr:blipFill>
          <xdr:spPr>
            <a:xfrm>
              <a:off x="4843800" y="8123400"/>
              <a:ext cx="406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425542</xdr:colOff>
      <xdr:row>53</xdr:row>
      <xdr:rowOff>47520</xdr:rowOff>
    </xdr:from>
    <xdr:to>
      <xdr:col>7</xdr:col>
      <xdr:colOff>594022</xdr:colOff>
      <xdr:row>53</xdr:row>
      <xdr:rowOff>183960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3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C909AF2A-6836-80E2-4B8F-E5E7275CFF28}"/>
                </a:ext>
                <a:ext uri="{147F2762-F138-4A5C-976F-8EAC2B608ADB}">
                  <a16:predDERef xmlns:a16="http://schemas.microsoft.com/office/drawing/2014/main" pred="{02006512-1713-2647-2746-E7FFE0E9AE92}"/>
                </a:ext>
              </a:extLst>
            </xdr14:cNvPr>
            <xdr14:cNvContentPartPr/>
          </xdr14:nvContentPartPr>
          <xdr14:nvPr macro=""/>
          <xdr14:xfrm>
            <a:off x="5464574" y="11108810"/>
            <a:ext cx="168480" cy="13644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C909AF2A-6836-80E2-4B8F-E5E7275CFF28}"/>
                </a:ext>
                <a:ext uri="{147F2762-F138-4A5C-976F-8EAC2B608ADB}">
                  <a16:predDERef xmlns:a16="http://schemas.microsoft.com/office/drawing/2014/main" pred="{02006512-1713-2647-2746-E7FFE0E9AE92}"/>
                </a:ext>
              </a:extLst>
            </xdr:cNvPr>
            <xdr:cNvPicPr/>
          </xdr:nvPicPr>
          <xdr:blipFill>
            <a:blip xmlns:r="http://schemas.openxmlformats.org/officeDocument/2006/relationships" r:embed="rId814"/>
            <a:stretch>
              <a:fillRect/>
            </a:stretch>
          </xdr:blipFill>
          <xdr:spPr>
            <a:xfrm>
              <a:off x="5148720" y="8037720"/>
              <a:ext cx="1897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683714</xdr:colOff>
      <xdr:row>53</xdr:row>
      <xdr:rowOff>0</xdr:rowOff>
    </xdr:from>
    <xdr:to>
      <xdr:col>8</xdr:col>
      <xdr:colOff>92382</xdr:colOff>
      <xdr:row>54</xdr:row>
      <xdr:rowOff>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5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51546C70-AA33-56F6-3DD5-9DD93FAD7E66}"/>
                </a:ext>
                <a:ext uri="{147F2762-F138-4A5C-976F-8EAC2B608ADB}">
                  <a16:predDERef xmlns:a16="http://schemas.microsoft.com/office/drawing/2014/main" pred="{C909AF2A-6836-80E2-4B8F-E5E7275CFF28}"/>
                </a:ext>
              </a:extLst>
            </xdr14:cNvPr>
            <xdr14:cNvContentPartPr/>
          </xdr14:nvContentPartPr>
          <xdr14:nvPr macro=""/>
          <xdr14:xfrm>
            <a:off x="5722746" y="11061290"/>
            <a:ext cx="105120" cy="210179"/>
          </xdr14:xfrm>
        </xdr:contentPart>
      </mc:Choice>
      <mc:Fallback xmlns=""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51546C70-AA33-56F6-3DD5-9DD93FAD7E66}"/>
                </a:ext>
                <a:ext uri="{147F2762-F138-4A5C-976F-8EAC2B608ADB}">
                  <a16:predDERef xmlns:a16="http://schemas.microsoft.com/office/drawing/2014/main" pred="{C909AF2A-6836-80E2-4B8F-E5E7275CFF28}"/>
                </a:ext>
              </a:extLst>
            </xdr:cNvPr>
            <xdr:cNvPicPr/>
          </xdr:nvPicPr>
          <xdr:blipFill>
            <a:blip xmlns:r="http://schemas.openxmlformats.org/officeDocument/2006/relationships" r:embed="rId816"/>
            <a:stretch>
              <a:fillRect/>
            </a:stretch>
          </xdr:blipFill>
          <xdr:spPr>
            <a:xfrm>
              <a:off x="5370840" y="7990200"/>
              <a:ext cx="1263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143142</xdr:colOff>
      <xdr:row>52</xdr:row>
      <xdr:rowOff>107699</xdr:rowOff>
    </xdr:from>
    <xdr:to>
      <xdr:col>8</xdr:col>
      <xdr:colOff>210102</xdr:colOff>
      <xdr:row>52</xdr:row>
      <xdr:rowOff>181139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7">
          <xdr14:nvContentPartPr>
            <xdr14:cNvPr id="419" name="Ink 418">
              <a:extLst>
                <a:ext uri="{FF2B5EF4-FFF2-40B4-BE49-F238E27FC236}">
                  <a16:creationId xmlns:a16="http://schemas.microsoft.com/office/drawing/2014/main" id="{D68A1682-666D-0C39-0586-C580F2DDA32B}"/>
                </a:ext>
                <a:ext uri="{147F2762-F138-4A5C-976F-8EAC2B608ADB}">
                  <a16:predDERef xmlns:a16="http://schemas.microsoft.com/office/drawing/2014/main" pred="{51546C70-AA33-56F6-3DD5-9DD93FAD7E66}"/>
                </a:ext>
              </a:extLst>
            </xdr14:cNvPr>
            <xdr14:cNvContentPartPr/>
          </xdr14:nvContentPartPr>
          <xdr14:nvPr macro=""/>
          <xdr14:xfrm>
            <a:off x="5878626" y="10964151"/>
            <a:ext cx="66960" cy="73440"/>
          </xdr14:xfrm>
        </xdr:contentPart>
      </mc:Choice>
      <mc:Fallback xmlns="">
        <xdr:pic>
          <xdr:nvPicPr>
            <xdr:cNvPr id="419" name="Ink 418">
              <a:extLst>
                <a:ext uri="{FF2B5EF4-FFF2-40B4-BE49-F238E27FC236}">
                  <a16:creationId xmlns:a16="http://schemas.microsoft.com/office/drawing/2014/main" id="{D68A1682-666D-0C39-0586-C580F2DDA32B}"/>
                </a:ext>
                <a:ext uri="{147F2762-F138-4A5C-976F-8EAC2B608ADB}">
                  <a16:predDERef xmlns:a16="http://schemas.microsoft.com/office/drawing/2014/main" pred="{51546C70-AA33-56F6-3DD5-9DD93FAD7E66}"/>
                </a:ext>
              </a:extLst>
            </xdr:cNvPr>
            <xdr:cNvPicPr/>
          </xdr:nvPicPr>
          <xdr:blipFill>
            <a:blip xmlns:r="http://schemas.openxmlformats.org/officeDocument/2006/relationships" r:embed="rId818"/>
            <a:stretch>
              <a:fillRect/>
            </a:stretch>
          </xdr:blipFill>
          <xdr:spPr>
            <a:xfrm>
              <a:off x="5526360" y="7907760"/>
              <a:ext cx="8820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200382</xdr:colOff>
      <xdr:row>53</xdr:row>
      <xdr:rowOff>50760</xdr:rowOff>
    </xdr:from>
    <xdr:to>
      <xdr:col>8</xdr:col>
      <xdr:colOff>279942</xdr:colOff>
      <xdr:row>53</xdr:row>
      <xdr:rowOff>63720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9">
          <xdr14:nvContentPartPr>
            <xdr14:cNvPr id="420" name="Ink 419">
              <a:extLst>
                <a:ext uri="{FF2B5EF4-FFF2-40B4-BE49-F238E27FC236}">
                  <a16:creationId xmlns:a16="http://schemas.microsoft.com/office/drawing/2014/main" id="{04D9857C-878E-F183-6F50-9881E45B6E8B}"/>
                </a:ext>
                <a:ext uri="{147F2762-F138-4A5C-976F-8EAC2B608ADB}">
                  <a16:predDERef xmlns:a16="http://schemas.microsoft.com/office/drawing/2014/main" pred="{D68A1682-666D-0C39-0586-C580F2DDA32B}"/>
                </a:ext>
              </a:extLst>
            </xdr14:cNvPr>
            <xdr14:cNvContentPartPr/>
          </xdr14:nvContentPartPr>
          <xdr14:nvPr macro=""/>
          <xdr14:xfrm>
            <a:off x="5935866" y="11112050"/>
            <a:ext cx="79560" cy="12960"/>
          </xdr14:xfrm>
        </xdr:contentPart>
      </mc:Choice>
      <mc:Fallback xmlns="">
        <xdr:pic>
          <xdr:nvPicPr>
            <xdr:cNvPr id="420" name="Ink 419">
              <a:extLst>
                <a:ext uri="{FF2B5EF4-FFF2-40B4-BE49-F238E27FC236}">
                  <a16:creationId xmlns:a16="http://schemas.microsoft.com/office/drawing/2014/main" id="{04D9857C-878E-F183-6F50-9881E45B6E8B}"/>
                </a:ext>
                <a:ext uri="{147F2762-F138-4A5C-976F-8EAC2B608ADB}">
                  <a16:predDERef xmlns:a16="http://schemas.microsoft.com/office/drawing/2014/main" pred="{D68A1682-666D-0C39-0586-C580F2DDA32B}"/>
                </a:ext>
              </a:extLst>
            </xdr:cNvPr>
            <xdr:cNvPicPr/>
          </xdr:nvPicPr>
          <xdr:blipFill>
            <a:blip xmlns:r="http://schemas.openxmlformats.org/officeDocument/2006/relationships" r:embed="rId820"/>
            <a:stretch>
              <a:fillRect/>
            </a:stretch>
          </xdr:blipFill>
          <xdr:spPr>
            <a:xfrm>
              <a:off x="5583960" y="8040960"/>
              <a:ext cx="1008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241422</xdr:colOff>
      <xdr:row>53</xdr:row>
      <xdr:rowOff>15840</xdr:rowOff>
    </xdr:from>
    <xdr:to>
      <xdr:col>8</xdr:col>
      <xdr:colOff>260862</xdr:colOff>
      <xdr:row>53</xdr:row>
      <xdr:rowOff>156240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1">
          <xdr14:nvContentPartPr>
            <xdr14:cNvPr id="421" name="Ink 420">
              <a:extLst>
                <a:ext uri="{FF2B5EF4-FFF2-40B4-BE49-F238E27FC236}">
                  <a16:creationId xmlns:a16="http://schemas.microsoft.com/office/drawing/2014/main" id="{8FE1D127-A7DC-15D2-B87B-2EEBCEF6DB24}"/>
                </a:ext>
                <a:ext uri="{147F2762-F138-4A5C-976F-8EAC2B608ADB}">
                  <a16:predDERef xmlns:a16="http://schemas.microsoft.com/office/drawing/2014/main" pred="{04D9857C-878E-F183-6F50-9881E45B6E8B}"/>
                </a:ext>
              </a:extLst>
            </xdr14:cNvPr>
            <xdr14:cNvContentPartPr/>
          </xdr14:nvContentPartPr>
          <xdr14:nvPr macro=""/>
          <xdr14:xfrm>
            <a:off x="5976906" y="11077130"/>
            <a:ext cx="19440" cy="140400"/>
          </xdr14:xfrm>
        </xdr:contentPart>
      </mc:Choice>
      <mc:Fallback xmlns="">
        <xdr:pic>
          <xdr:nvPicPr>
            <xdr:cNvPr id="421" name="Ink 420">
              <a:extLst>
                <a:ext uri="{FF2B5EF4-FFF2-40B4-BE49-F238E27FC236}">
                  <a16:creationId xmlns:a16="http://schemas.microsoft.com/office/drawing/2014/main" id="{8FE1D127-A7DC-15D2-B87B-2EEBCEF6DB24}"/>
                </a:ext>
                <a:ext uri="{147F2762-F138-4A5C-976F-8EAC2B608ADB}">
                  <a16:predDERef xmlns:a16="http://schemas.microsoft.com/office/drawing/2014/main" pred="{04D9857C-878E-F183-6F50-9881E45B6E8B}"/>
                </a:ext>
              </a:extLst>
            </xdr:cNvPr>
            <xdr:cNvPicPr/>
          </xdr:nvPicPr>
          <xdr:blipFill>
            <a:blip xmlns:r="http://schemas.openxmlformats.org/officeDocument/2006/relationships" r:embed="rId822"/>
            <a:stretch>
              <a:fillRect/>
            </a:stretch>
          </xdr:blipFill>
          <xdr:spPr>
            <a:xfrm>
              <a:off x="5625000" y="8006040"/>
              <a:ext cx="4068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336822</xdr:colOff>
      <xdr:row>53</xdr:row>
      <xdr:rowOff>44280</xdr:rowOff>
    </xdr:from>
    <xdr:to>
      <xdr:col>8</xdr:col>
      <xdr:colOff>515022</xdr:colOff>
      <xdr:row>54</xdr:row>
      <xdr:rowOff>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3">
          <xdr14:nvContentPartPr>
            <xdr14:cNvPr id="422" name="Ink 421">
              <a:extLst>
                <a:ext uri="{FF2B5EF4-FFF2-40B4-BE49-F238E27FC236}">
                  <a16:creationId xmlns:a16="http://schemas.microsoft.com/office/drawing/2014/main" id="{62B74D78-627D-57DC-8DB0-AE61FEACE187}"/>
                </a:ext>
                <a:ext uri="{147F2762-F138-4A5C-976F-8EAC2B608ADB}">
                  <a16:predDERef xmlns:a16="http://schemas.microsoft.com/office/drawing/2014/main" pred="{8FE1D127-A7DC-15D2-B87B-2EEBCEF6DB24}"/>
                </a:ext>
              </a:extLst>
            </xdr14:cNvPr>
            <xdr14:cNvContentPartPr/>
          </xdr14:nvContentPartPr>
          <xdr14:nvPr macro=""/>
          <xdr14:xfrm>
            <a:off x="6072306" y="11105570"/>
            <a:ext cx="178200" cy="164099"/>
          </xdr14:xfrm>
        </xdr:contentPart>
      </mc:Choice>
      <mc:Fallback xmlns="">
        <xdr:pic>
          <xdr:nvPicPr>
            <xdr:cNvPr id="422" name="Ink 421">
              <a:extLst>
                <a:ext uri="{FF2B5EF4-FFF2-40B4-BE49-F238E27FC236}">
                  <a16:creationId xmlns:a16="http://schemas.microsoft.com/office/drawing/2014/main" id="{62B74D78-627D-57DC-8DB0-AE61FEACE187}"/>
                </a:ext>
                <a:ext uri="{147F2762-F138-4A5C-976F-8EAC2B608ADB}">
                  <a16:predDERef xmlns:a16="http://schemas.microsoft.com/office/drawing/2014/main" pred="{8FE1D127-A7DC-15D2-B87B-2EEBCEF6DB24}"/>
                </a:ext>
              </a:extLst>
            </xdr:cNvPr>
            <xdr:cNvPicPr/>
          </xdr:nvPicPr>
          <xdr:blipFill>
            <a:blip xmlns:r="http://schemas.openxmlformats.org/officeDocument/2006/relationships" r:embed="rId824"/>
            <a:stretch>
              <a:fillRect/>
            </a:stretch>
          </xdr:blipFill>
          <xdr:spPr>
            <a:xfrm>
              <a:off x="5720040" y="8034480"/>
              <a:ext cx="1994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565422</xdr:colOff>
      <xdr:row>52</xdr:row>
      <xdr:rowOff>127139</xdr:rowOff>
    </xdr:from>
    <xdr:to>
      <xdr:col>9</xdr:col>
      <xdr:colOff>41922</xdr:colOff>
      <xdr:row>53</xdr:row>
      <xdr:rowOff>146160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5">
          <xdr14:nvContentPartPr>
            <xdr14:cNvPr id="423" name="Ink 422">
              <a:extLst>
                <a:ext uri="{FF2B5EF4-FFF2-40B4-BE49-F238E27FC236}">
                  <a16:creationId xmlns:a16="http://schemas.microsoft.com/office/drawing/2014/main" id="{67E950C5-DE4C-99F9-1048-F2359FC5A4E4}"/>
                </a:ext>
                <a:ext uri="{147F2762-F138-4A5C-976F-8EAC2B608ADB}">
                  <a16:predDERef xmlns:a16="http://schemas.microsoft.com/office/drawing/2014/main" pred="{62B74D78-627D-57DC-8DB0-AE61FEACE187}"/>
                </a:ext>
              </a:extLst>
            </xdr14:cNvPr>
            <xdr14:cNvContentPartPr/>
          </xdr14:nvContentPartPr>
          <xdr14:nvPr macro=""/>
          <xdr14:xfrm>
            <a:off x="6300906" y="10983591"/>
            <a:ext cx="172951" cy="223859"/>
          </xdr14:xfrm>
        </xdr:contentPart>
      </mc:Choice>
      <mc:Fallback xmlns="">
        <xdr:pic>
          <xdr:nvPicPr>
            <xdr:cNvPr id="423" name="Ink 422">
              <a:extLst>
                <a:ext uri="{FF2B5EF4-FFF2-40B4-BE49-F238E27FC236}">
                  <a16:creationId xmlns:a16="http://schemas.microsoft.com/office/drawing/2014/main" id="{67E950C5-DE4C-99F9-1048-F2359FC5A4E4}"/>
                </a:ext>
                <a:ext uri="{147F2762-F138-4A5C-976F-8EAC2B608ADB}">
                  <a16:predDERef xmlns:a16="http://schemas.microsoft.com/office/drawing/2014/main" pred="{62B74D78-627D-57DC-8DB0-AE61FEACE187}"/>
                </a:ext>
              </a:extLst>
            </xdr:cNvPr>
            <xdr:cNvPicPr/>
          </xdr:nvPicPr>
          <xdr:blipFill>
            <a:blip xmlns:r="http://schemas.openxmlformats.org/officeDocument/2006/relationships" r:embed="rId826"/>
            <a:stretch>
              <a:fillRect/>
            </a:stretch>
          </xdr:blipFill>
          <xdr:spPr>
            <a:xfrm>
              <a:off x="5948640" y="7927200"/>
              <a:ext cx="145440" cy="23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63522</xdr:colOff>
      <xdr:row>53</xdr:row>
      <xdr:rowOff>72720</xdr:rowOff>
    </xdr:from>
    <xdr:to>
      <xdr:col>9</xdr:col>
      <xdr:colOff>124362</xdr:colOff>
      <xdr:row>54</xdr:row>
      <xdr:rowOff>1293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7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85BBCED8-E6AF-25B4-5A4C-8B9D1F850307}"/>
                </a:ext>
                <a:ext uri="{147F2762-F138-4A5C-976F-8EAC2B608ADB}">
                  <a16:predDERef xmlns:a16="http://schemas.microsoft.com/office/drawing/2014/main" pred="{67E950C5-DE4C-99F9-1048-F2359FC5A4E4}"/>
                </a:ext>
              </a:extLst>
            </xdr14:cNvPr>
            <xdr14:cNvContentPartPr/>
          </xdr14:nvContentPartPr>
          <xdr14:nvPr macro=""/>
          <xdr14:xfrm>
            <a:off x="6495457" y="11134010"/>
            <a:ext cx="60840" cy="133412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85BBCED8-E6AF-25B4-5A4C-8B9D1F850307}"/>
                </a:ext>
                <a:ext uri="{147F2762-F138-4A5C-976F-8EAC2B608ADB}">
                  <a16:predDERef xmlns:a16="http://schemas.microsoft.com/office/drawing/2014/main" pred="{67E950C5-DE4C-99F9-1048-F2359FC5A4E4}"/>
                </a:ext>
              </a:extLst>
            </xdr:cNvPr>
            <xdr:cNvPicPr/>
          </xdr:nvPicPr>
          <xdr:blipFill>
            <a:blip xmlns:r="http://schemas.openxmlformats.org/officeDocument/2006/relationships" r:embed="rId828"/>
            <a:stretch>
              <a:fillRect/>
            </a:stretch>
          </xdr:blipFill>
          <xdr:spPr>
            <a:xfrm>
              <a:off x="6094800" y="8063280"/>
              <a:ext cx="8208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198522</xdr:colOff>
      <xdr:row>52</xdr:row>
      <xdr:rowOff>88619</xdr:rowOff>
    </xdr:from>
    <xdr:to>
      <xdr:col>9</xdr:col>
      <xdr:colOff>277002</xdr:colOff>
      <xdr:row>52</xdr:row>
      <xdr:rowOff>168179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9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D3299B38-8B21-F095-BBFC-4CA20E4EF784}"/>
                </a:ext>
                <a:ext uri="{147F2762-F138-4A5C-976F-8EAC2B608ADB}">
                  <a16:predDERef xmlns:a16="http://schemas.microsoft.com/office/drawing/2014/main" pred="{85BBCED8-E6AF-25B4-5A4C-8B9D1F850307}"/>
                </a:ext>
              </a:extLst>
            </xdr14:cNvPr>
            <xdr14:cNvContentPartPr/>
          </xdr14:nvContentPartPr>
          <xdr14:nvPr macro=""/>
          <xdr14:xfrm>
            <a:off x="6630457" y="10945071"/>
            <a:ext cx="78480" cy="7956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D3299B38-8B21-F095-BBFC-4CA20E4EF784}"/>
                </a:ext>
                <a:ext uri="{147F2762-F138-4A5C-976F-8EAC2B608ADB}">
                  <a16:predDERef xmlns:a16="http://schemas.microsoft.com/office/drawing/2014/main" pred="{85BBCED8-E6AF-25B4-5A4C-8B9D1F850307}"/>
                </a:ext>
              </a:extLst>
            </xdr:cNvPr>
            <xdr:cNvPicPr/>
          </xdr:nvPicPr>
          <xdr:blipFill>
            <a:blip xmlns:r="http://schemas.openxmlformats.org/officeDocument/2006/relationships" r:embed="rId830"/>
            <a:stretch>
              <a:fillRect/>
            </a:stretch>
          </xdr:blipFill>
          <xdr:spPr>
            <a:xfrm>
              <a:off x="6229440" y="7888680"/>
              <a:ext cx="997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371542</xdr:colOff>
      <xdr:row>54</xdr:row>
      <xdr:rowOff>44220</xdr:rowOff>
    </xdr:from>
    <xdr:to>
      <xdr:col>9</xdr:col>
      <xdr:colOff>149562</xdr:colOff>
      <xdr:row>54</xdr:row>
      <xdr:rowOff>79140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1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3ABC2A6D-EE50-6020-51BE-18F444180755}"/>
                </a:ext>
                <a:ext uri="{147F2762-F138-4A5C-976F-8EAC2B608ADB}">
                  <a16:predDERef xmlns:a16="http://schemas.microsoft.com/office/drawing/2014/main" pred="{D3299B38-8B21-F095-BBFC-4CA20E4EF784}"/>
                </a:ext>
              </a:extLst>
            </xdr14:cNvPr>
            <xdr14:cNvContentPartPr/>
          </xdr14:nvContentPartPr>
          <xdr14:nvPr macro=""/>
          <xdr14:xfrm>
            <a:off x="5410574" y="11310349"/>
            <a:ext cx="1170923" cy="3492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3ABC2A6D-EE50-6020-51BE-18F444180755}"/>
                </a:ext>
                <a:ext uri="{147F2762-F138-4A5C-976F-8EAC2B608ADB}">
                  <a16:predDERef xmlns:a16="http://schemas.microsoft.com/office/drawing/2014/main" pred="{D3299B38-8B21-F095-BBFC-4CA20E4EF784}"/>
                </a:ext>
              </a:extLst>
            </xdr:cNvPr>
            <xdr:cNvPicPr/>
          </xdr:nvPicPr>
          <xdr:blipFill>
            <a:blip xmlns:r="http://schemas.openxmlformats.org/officeDocument/2006/relationships" r:embed="rId832"/>
            <a:stretch>
              <a:fillRect/>
            </a:stretch>
          </xdr:blipFill>
          <xdr:spPr>
            <a:xfrm>
              <a:off x="5094720" y="8225280"/>
              <a:ext cx="110736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130182</xdr:colOff>
      <xdr:row>54</xdr:row>
      <xdr:rowOff>164820</xdr:rowOff>
    </xdr:from>
    <xdr:to>
      <xdr:col>8</xdr:col>
      <xdr:colOff>247902</xdr:colOff>
      <xdr:row>55</xdr:row>
      <xdr:rowOff>174839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3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5A419DDE-087E-E483-842D-B138395B26D3}"/>
                </a:ext>
                <a:ext uri="{147F2762-F138-4A5C-976F-8EAC2B608ADB}">
                  <a16:predDERef xmlns:a16="http://schemas.microsoft.com/office/drawing/2014/main" pred="{3ABC2A6D-EE50-6020-51BE-18F444180755}"/>
                </a:ext>
              </a:extLst>
            </xdr14:cNvPr>
            <xdr14:cNvContentPartPr/>
          </xdr14:nvContentPartPr>
          <xdr14:nvPr macro=""/>
          <xdr14:xfrm>
            <a:off x="5865666" y="11430949"/>
            <a:ext cx="117720" cy="214858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5A419DDE-087E-E483-842D-B138395B26D3}"/>
                </a:ext>
                <a:ext uri="{147F2762-F138-4A5C-976F-8EAC2B608ADB}">
                  <a16:predDERef xmlns:a16="http://schemas.microsoft.com/office/drawing/2014/main" pred="{3ABC2A6D-EE50-6020-51BE-18F444180755}"/>
                </a:ext>
              </a:extLst>
            </xdr:cNvPr>
            <xdr:cNvPicPr/>
          </xdr:nvPicPr>
          <xdr:blipFill>
            <a:blip xmlns:r="http://schemas.openxmlformats.org/officeDocument/2006/relationships" r:embed="rId834"/>
            <a:stretch>
              <a:fillRect/>
            </a:stretch>
          </xdr:blipFill>
          <xdr:spPr>
            <a:xfrm>
              <a:off x="5513760" y="8345880"/>
              <a:ext cx="138960" cy="22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276342</xdr:colOff>
      <xdr:row>55</xdr:row>
      <xdr:rowOff>76199</xdr:rowOff>
    </xdr:from>
    <xdr:to>
      <xdr:col>8</xdr:col>
      <xdr:colOff>343302</xdr:colOff>
      <xdr:row>56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5">
          <xdr14:nvContentPartPr>
            <xdr14:cNvPr id="428" name="Ink 427">
              <a:extLst>
                <a:ext uri="{FF2B5EF4-FFF2-40B4-BE49-F238E27FC236}">
                  <a16:creationId xmlns:a16="http://schemas.microsoft.com/office/drawing/2014/main" id="{4C64AF2A-085A-A2B2-FD5A-95DAD755F76D}"/>
                </a:ext>
                <a:ext uri="{147F2762-F138-4A5C-976F-8EAC2B608ADB}">
                  <a16:predDERef xmlns:a16="http://schemas.microsoft.com/office/drawing/2014/main" pred="{5A419DDE-087E-E483-842D-B138395B26D3}"/>
                </a:ext>
              </a:extLst>
            </xdr14:cNvPr>
            <xdr14:cNvContentPartPr/>
          </xdr14:nvContentPartPr>
          <xdr14:nvPr macro=""/>
          <xdr14:xfrm>
            <a:off x="6011826" y="11547167"/>
            <a:ext cx="66960" cy="160499"/>
          </xdr14:xfrm>
        </xdr:contentPart>
      </mc:Choice>
      <mc:Fallback xmlns="">
        <xdr:pic>
          <xdr:nvPicPr>
            <xdr:cNvPr id="428" name="Ink 427">
              <a:extLst>
                <a:ext uri="{FF2B5EF4-FFF2-40B4-BE49-F238E27FC236}">
                  <a16:creationId xmlns:a16="http://schemas.microsoft.com/office/drawing/2014/main" id="{4C64AF2A-085A-A2B2-FD5A-95DAD755F76D}"/>
                </a:ext>
                <a:ext uri="{147F2762-F138-4A5C-976F-8EAC2B608ADB}">
                  <a16:predDERef xmlns:a16="http://schemas.microsoft.com/office/drawing/2014/main" pred="{5A419DDE-087E-E483-842D-B138395B26D3}"/>
                </a:ext>
              </a:extLst>
            </xdr:cNvPr>
            <xdr:cNvPicPr/>
          </xdr:nvPicPr>
          <xdr:blipFill>
            <a:blip xmlns:r="http://schemas.openxmlformats.org/officeDocument/2006/relationships" r:embed="rId836"/>
            <a:stretch>
              <a:fillRect/>
            </a:stretch>
          </xdr:blipFill>
          <xdr:spPr>
            <a:xfrm>
              <a:off x="5659920" y="8447400"/>
              <a:ext cx="882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420702</xdr:colOff>
      <xdr:row>54</xdr:row>
      <xdr:rowOff>148980</xdr:rowOff>
    </xdr:from>
    <xdr:to>
      <xdr:col>8</xdr:col>
      <xdr:colOff>530862</xdr:colOff>
      <xdr:row>55</xdr:row>
      <xdr:rowOff>31919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7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81AB9C04-0D23-CE38-4A8F-7CA5DB978617}"/>
                </a:ext>
                <a:ext uri="{147F2762-F138-4A5C-976F-8EAC2B608ADB}">
                  <a16:predDERef xmlns:a16="http://schemas.microsoft.com/office/drawing/2014/main" pred="{4C64AF2A-085A-A2B2-FD5A-95DAD755F76D}"/>
                </a:ext>
              </a:extLst>
            </xdr14:cNvPr>
            <xdr14:cNvContentPartPr/>
          </xdr14:nvContentPartPr>
          <xdr14:nvPr macro=""/>
          <xdr14:xfrm>
            <a:off x="6156186" y="11415109"/>
            <a:ext cx="110160" cy="87778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81AB9C04-0D23-CE38-4A8F-7CA5DB978617}"/>
                </a:ext>
                <a:ext uri="{147F2762-F138-4A5C-976F-8EAC2B608ADB}">
                  <a16:predDERef xmlns:a16="http://schemas.microsoft.com/office/drawing/2014/main" pred="{4C64AF2A-085A-A2B2-FD5A-95DAD755F76D}"/>
                </a:ext>
              </a:extLst>
            </xdr:cNvPr>
            <xdr:cNvPicPr/>
          </xdr:nvPicPr>
          <xdr:blipFill>
            <a:blip xmlns:r="http://schemas.openxmlformats.org/officeDocument/2006/relationships" r:embed="rId838"/>
            <a:stretch>
              <a:fillRect/>
            </a:stretch>
          </xdr:blipFill>
          <xdr:spPr>
            <a:xfrm>
              <a:off x="5803920" y="8330040"/>
              <a:ext cx="13140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476442</xdr:colOff>
      <xdr:row>52</xdr:row>
      <xdr:rowOff>110939</xdr:rowOff>
    </xdr:from>
    <xdr:to>
      <xdr:col>9</xdr:col>
      <xdr:colOff>619362</xdr:colOff>
      <xdr:row>55</xdr:row>
      <xdr:rowOff>181319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9">
          <xdr14:nvContentPartPr>
            <xdr14:cNvPr id="430" name="Ink 429">
              <a:extLst>
                <a:ext uri="{FF2B5EF4-FFF2-40B4-BE49-F238E27FC236}">
                  <a16:creationId xmlns:a16="http://schemas.microsoft.com/office/drawing/2014/main" id="{256D368F-F9D3-681E-41A1-F0EB0125A89E}"/>
                </a:ext>
                <a:ext uri="{147F2762-F138-4A5C-976F-8EAC2B608ADB}">
                  <a16:predDERef xmlns:a16="http://schemas.microsoft.com/office/drawing/2014/main" pred="{81AB9C04-0D23-CE38-4A8F-7CA5DB978617}"/>
                </a:ext>
              </a:extLst>
            </xdr14:cNvPr>
            <xdr14:cNvContentPartPr/>
          </xdr14:nvContentPartPr>
          <xdr14:nvPr macro=""/>
          <xdr14:xfrm>
            <a:off x="6908377" y="10967391"/>
            <a:ext cx="142920" cy="684896"/>
          </xdr14:xfrm>
        </xdr:contentPart>
      </mc:Choice>
      <mc:Fallback xmlns="">
        <xdr:pic>
          <xdr:nvPicPr>
            <xdr:cNvPr id="430" name="Ink 429">
              <a:extLst>
                <a:ext uri="{FF2B5EF4-FFF2-40B4-BE49-F238E27FC236}">
                  <a16:creationId xmlns:a16="http://schemas.microsoft.com/office/drawing/2014/main" id="{256D368F-F9D3-681E-41A1-F0EB0125A89E}"/>
                </a:ext>
                <a:ext uri="{147F2762-F138-4A5C-976F-8EAC2B608ADB}">
                  <a16:predDERef xmlns:a16="http://schemas.microsoft.com/office/drawing/2014/main" pred="{81AB9C04-0D23-CE38-4A8F-7CA5DB978617}"/>
                </a:ext>
              </a:extLst>
            </xdr:cNvPr>
            <xdr:cNvPicPr/>
          </xdr:nvPicPr>
          <xdr:blipFill>
            <a:blip xmlns:r="http://schemas.openxmlformats.org/officeDocument/2006/relationships" r:embed="rId840"/>
            <a:stretch>
              <a:fillRect/>
            </a:stretch>
          </xdr:blipFill>
          <xdr:spPr>
            <a:xfrm>
              <a:off x="6507360" y="7911000"/>
              <a:ext cx="164160" cy="66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778122</xdr:colOff>
      <xdr:row>52</xdr:row>
      <xdr:rowOff>66659</xdr:rowOff>
    </xdr:from>
    <xdr:to>
      <xdr:col>10</xdr:col>
      <xdr:colOff>3747</xdr:colOff>
      <xdr:row>52</xdr:row>
      <xdr:rowOff>181499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1">
          <xdr14:nvContentPartPr>
            <xdr14:cNvPr id="431" name="Ink 430">
              <a:extLst>
                <a:ext uri="{FF2B5EF4-FFF2-40B4-BE49-F238E27FC236}">
                  <a16:creationId xmlns:a16="http://schemas.microsoft.com/office/drawing/2014/main" id="{F5940C6E-0618-28BA-ACDE-75075339B703}"/>
                </a:ext>
                <a:ext uri="{147F2762-F138-4A5C-976F-8EAC2B608ADB}">
                  <a16:predDERef xmlns:a16="http://schemas.microsoft.com/office/drawing/2014/main" pred="{256D368F-F9D3-681E-41A1-F0EB0125A89E}"/>
                </a:ext>
              </a:extLst>
            </xdr14:cNvPr>
            <xdr14:cNvContentPartPr/>
          </xdr14:nvContentPartPr>
          <xdr14:nvPr macro=""/>
          <xdr14:xfrm>
            <a:off x="7210057" y="10923111"/>
            <a:ext cx="73350" cy="114840"/>
          </xdr14:xfrm>
        </xdr:contentPart>
      </mc:Choice>
      <mc:Fallback xmlns="">
        <xdr:pic>
          <xdr:nvPicPr>
            <xdr:cNvPr id="431" name="Ink 430">
              <a:extLst>
                <a:ext uri="{FF2B5EF4-FFF2-40B4-BE49-F238E27FC236}">
                  <a16:creationId xmlns:a16="http://schemas.microsoft.com/office/drawing/2014/main" id="{F5940C6E-0618-28BA-ACDE-75075339B703}"/>
                </a:ext>
                <a:ext uri="{147F2762-F138-4A5C-976F-8EAC2B608ADB}">
                  <a16:predDERef xmlns:a16="http://schemas.microsoft.com/office/drawing/2014/main" pred="{256D368F-F9D3-681E-41A1-F0EB0125A89E}"/>
                </a:ext>
              </a:extLst>
            </xdr:cNvPr>
            <xdr:cNvPicPr/>
          </xdr:nvPicPr>
          <xdr:blipFill>
            <a:blip xmlns:r="http://schemas.openxmlformats.org/officeDocument/2006/relationships" r:embed="rId842"/>
            <a:stretch>
              <a:fillRect/>
            </a:stretch>
          </xdr:blipFill>
          <xdr:spPr>
            <a:xfrm>
              <a:off x="6809040" y="7866360"/>
              <a:ext cx="374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725562</xdr:colOff>
      <xdr:row>52</xdr:row>
      <xdr:rowOff>187259</xdr:rowOff>
    </xdr:from>
    <xdr:to>
      <xdr:col>10</xdr:col>
      <xdr:colOff>98</xdr:colOff>
      <xdr:row>53</xdr:row>
      <xdr:rowOff>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3">
          <xdr14:nvContentPartPr>
            <xdr14:cNvPr id="432" name="Ink 431">
              <a:extLst>
                <a:ext uri="{FF2B5EF4-FFF2-40B4-BE49-F238E27FC236}">
                  <a16:creationId xmlns:a16="http://schemas.microsoft.com/office/drawing/2014/main" id="{FC5EDFCF-50BD-5229-A37A-341A664A3C8A}"/>
                </a:ext>
                <a:ext uri="{147F2762-F138-4A5C-976F-8EAC2B608ADB}">
                  <a16:predDERef xmlns:a16="http://schemas.microsoft.com/office/drawing/2014/main" pred="{F5940C6E-0618-28BA-ACDE-75075339B703}"/>
                </a:ext>
              </a:extLst>
            </xdr14:cNvPr>
            <xdr14:cNvContentPartPr/>
          </xdr14:nvContentPartPr>
          <xdr14:nvPr macro=""/>
          <xdr14:xfrm>
            <a:off x="7157497" y="11043711"/>
            <a:ext cx="138510" cy="27299"/>
          </xdr14:xfrm>
        </xdr:contentPart>
      </mc:Choice>
      <mc:Fallback xmlns="">
        <xdr:pic>
          <xdr:nvPicPr>
            <xdr:cNvPr id="432" name="Ink 431">
              <a:extLst>
                <a:ext uri="{FF2B5EF4-FFF2-40B4-BE49-F238E27FC236}">
                  <a16:creationId xmlns:a16="http://schemas.microsoft.com/office/drawing/2014/main" id="{FC5EDFCF-50BD-5229-A37A-341A664A3C8A}"/>
                </a:ext>
                <a:ext uri="{147F2762-F138-4A5C-976F-8EAC2B608ADB}">
                  <a16:predDERef xmlns:a16="http://schemas.microsoft.com/office/drawing/2014/main" pred="{F5940C6E-0618-28BA-ACDE-75075339B703}"/>
                </a:ext>
              </a:extLst>
            </xdr:cNvPr>
            <xdr:cNvPicPr/>
          </xdr:nvPicPr>
          <xdr:blipFill>
            <a:blip xmlns:r="http://schemas.openxmlformats.org/officeDocument/2006/relationships" r:embed="rId844"/>
            <a:stretch>
              <a:fillRect/>
            </a:stretch>
          </xdr:blipFill>
          <xdr:spPr>
            <a:xfrm>
              <a:off x="6756480" y="7986960"/>
              <a:ext cx="1026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755802</xdr:colOff>
      <xdr:row>53</xdr:row>
      <xdr:rowOff>56880</xdr:rowOff>
    </xdr:from>
    <xdr:to>
      <xdr:col>10</xdr:col>
      <xdr:colOff>9059</xdr:colOff>
      <xdr:row>53</xdr:row>
      <xdr:rowOff>161640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5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6D9E6551-4E33-C121-0F51-6A0D20BE2A14}"/>
                </a:ext>
                <a:ext uri="{147F2762-F138-4A5C-976F-8EAC2B608ADB}">
                  <a16:predDERef xmlns:a16="http://schemas.microsoft.com/office/drawing/2014/main" pred="{FC5EDFCF-50BD-5229-A37A-341A664A3C8A}"/>
                </a:ext>
              </a:extLst>
            </xdr14:cNvPr>
            <xdr14:cNvContentPartPr/>
          </xdr14:nvContentPartPr>
          <xdr14:nvPr macro=""/>
          <xdr14:xfrm>
            <a:off x="7187737" y="11118170"/>
            <a:ext cx="195516" cy="104760"/>
          </xdr14:xfrm>
        </xdr:contentPart>
      </mc:Choice>
      <mc:Fallback xmlns=""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6D9E6551-4E33-C121-0F51-6A0D20BE2A14}"/>
                </a:ext>
                <a:ext uri="{147F2762-F138-4A5C-976F-8EAC2B608ADB}">
                  <a16:predDERef xmlns:a16="http://schemas.microsoft.com/office/drawing/2014/main" pred="{FC5EDFCF-50BD-5229-A37A-341A664A3C8A}"/>
                </a:ext>
              </a:extLst>
            </xdr:cNvPr>
            <xdr:cNvPicPr/>
          </xdr:nvPicPr>
          <xdr:blipFill>
            <a:blip xmlns:r="http://schemas.openxmlformats.org/officeDocument/2006/relationships" r:embed="rId846"/>
            <a:stretch>
              <a:fillRect/>
            </a:stretch>
          </xdr:blipFill>
          <xdr:spPr>
            <a:xfrm>
              <a:off x="6786720" y="8047440"/>
              <a:ext cx="14868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56194</xdr:colOff>
      <xdr:row>26</xdr:row>
      <xdr:rowOff>154443</xdr:rowOff>
    </xdr:from>
    <xdr:to>
      <xdr:col>20</xdr:col>
      <xdr:colOff>105446</xdr:colOff>
      <xdr:row>27</xdr:row>
      <xdr:rowOff>218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7">
          <xdr14:nvContentPartPr>
            <xdr14:cNvPr id="434" name="Ink 433">
              <a:extLst>
                <a:ext uri="{FF2B5EF4-FFF2-40B4-BE49-F238E27FC236}">
                  <a16:creationId xmlns:a16="http://schemas.microsoft.com/office/drawing/2014/main" id="{981E5F3C-C32B-62EC-482B-6E3092F4D44E}"/>
                </a:ext>
                <a:ext uri="{147F2762-F138-4A5C-976F-8EAC2B608ADB}">
                  <a16:predDERef xmlns:a16="http://schemas.microsoft.com/office/drawing/2014/main" pred="{6D9E6551-4E33-C121-0F51-6A0D20BE2A14}"/>
                </a:ext>
              </a:extLst>
            </xdr14:cNvPr>
            <xdr14:cNvContentPartPr/>
          </xdr14:nvContentPartPr>
          <xdr14:nvPr macro=""/>
          <xdr14:xfrm>
            <a:off x="13821355" y="5685088"/>
            <a:ext cx="745704" cy="50614"/>
          </xdr14:xfrm>
        </xdr:contentPart>
      </mc:Choice>
      <mc:Fallback xmlns="">
        <xdr:pic>
          <xdr:nvPicPr>
            <xdr:cNvPr id="434" name="Ink 433">
              <a:extLst>
                <a:ext uri="{FF2B5EF4-FFF2-40B4-BE49-F238E27FC236}">
                  <a16:creationId xmlns:a16="http://schemas.microsoft.com/office/drawing/2014/main" id="{981E5F3C-C32B-62EC-482B-6E3092F4D44E}"/>
                </a:ext>
                <a:ext uri="{147F2762-F138-4A5C-976F-8EAC2B608ADB}">
                  <a16:predDERef xmlns:a16="http://schemas.microsoft.com/office/drawing/2014/main" pred="{6D9E6551-4E33-C121-0F51-6A0D20BE2A14}"/>
                </a:ext>
              </a:extLst>
            </xdr:cNvPr>
            <xdr:cNvPicPr/>
          </xdr:nvPicPr>
          <xdr:blipFill>
            <a:blip xmlns:r="http://schemas.openxmlformats.org/officeDocument/2006/relationships" r:embed="rId848"/>
            <a:stretch>
              <a:fillRect/>
            </a:stretch>
          </xdr:blipFill>
          <xdr:spPr>
            <a:xfrm>
              <a:off x="12769200" y="2975400"/>
              <a:ext cx="72540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649120</xdr:colOff>
      <xdr:row>29</xdr:row>
      <xdr:rowOff>63941</xdr:rowOff>
    </xdr:from>
    <xdr:to>
      <xdr:col>3</xdr:col>
      <xdr:colOff>58076</xdr:colOff>
      <xdr:row>30</xdr:row>
      <xdr:rowOff>58533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9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46789BA8-6F59-8467-4BDE-206114417A12}"/>
                </a:ext>
                <a:ext uri="{147F2762-F138-4A5C-976F-8EAC2B608ADB}">
                  <a16:predDERef xmlns:a16="http://schemas.microsoft.com/office/drawing/2014/main" pred="{981E5F3C-C32B-62EC-482B-6E3092F4D44E}"/>
                </a:ext>
              </a:extLst>
            </xdr14:cNvPr>
            <xdr14:cNvContentPartPr/>
          </xdr14:nvContentPartPr>
          <xdr14:nvPr macro=""/>
          <xdr14:xfrm>
            <a:off x="2328797" y="6209102"/>
            <a:ext cx="64440" cy="199431"/>
          </xdr14:xfrm>
        </xdr:contentPart>
      </mc:Choice>
      <mc:Fallback xmlns=""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46789BA8-6F59-8467-4BDE-206114417A12}"/>
                </a:ext>
                <a:ext uri="{147F2762-F138-4A5C-976F-8EAC2B608ADB}">
                  <a16:predDERef xmlns:a16="http://schemas.microsoft.com/office/drawing/2014/main" pred="{981E5F3C-C32B-62EC-482B-6E3092F4D44E}"/>
                </a:ext>
              </a:extLst>
            </xdr:cNvPr>
            <xdr:cNvPicPr/>
          </xdr:nvPicPr>
          <xdr:blipFill>
            <a:blip xmlns:r="http://schemas.openxmlformats.org/officeDocument/2006/relationships" r:embed="rId850"/>
            <a:stretch>
              <a:fillRect/>
            </a:stretch>
          </xdr:blipFill>
          <xdr:spPr>
            <a:xfrm>
              <a:off x="2191320" y="3513600"/>
              <a:ext cx="8568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92996</xdr:colOff>
      <xdr:row>31</xdr:row>
      <xdr:rowOff>23245</xdr:rowOff>
    </xdr:from>
    <xdr:to>
      <xdr:col>3</xdr:col>
      <xdr:colOff>145916</xdr:colOff>
      <xdr:row>32</xdr:row>
      <xdr:rowOff>35118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1">
          <xdr14:nvContentPartPr>
            <xdr14:cNvPr id="436" name="Ink 435">
              <a:extLst>
                <a:ext uri="{FF2B5EF4-FFF2-40B4-BE49-F238E27FC236}">
                  <a16:creationId xmlns:a16="http://schemas.microsoft.com/office/drawing/2014/main" id="{51DBE537-E465-F9D3-96B1-E3B7684685E6}"/>
                </a:ext>
                <a:ext uri="{147F2762-F138-4A5C-976F-8EAC2B608ADB}">
                  <a16:predDERef xmlns:a16="http://schemas.microsoft.com/office/drawing/2014/main" pred="{46789BA8-6F59-8467-4BDE-206114417A12}"/>
                </a:ext>
              </a:extLst>
            </xdr14:cNvPr>
            <xdr14:cNvContentPartPr/>
          </xdr14:nvContentPartPr>
          <xdr14:nvPr macro=""/>
          <xdr14:xfrm>
            <a:off x="2428157" y="6578084"/>
            <a:ext cx="52920" cy="216711"/>
          </xdr14:xfrm>
        </xdr:contentPart>
      </mc:Choice>
      <mc:Fallback xmlns="">
        <xdr:pic>
          <xdr:nvPicPr>
            <xdr:cNvPr id="436" name="Ink 435">
              <a:extLst>
                <a:ext uri="{FF2B5EF4-FFF2-40B4-BE49-F238E27FC236}">
                  <a16:creationId xmlns:a16="http://schemas.microsoft.com/office/drawing/2014/main" id="{51DBE537-E465-F9D3-96B1-E3B7684685E6}"/>
                </a:ext>
                <a:ext uri="{147F2762-F138-4A5C-976F-8EAC2B608ADB}">
                  <a16:predDERef xmlns:a16="http://schemas.microsoft.com/office/drawing/2014/main" pred="{46789BA8-6F59-8467-4BDE-206114417A12}"/>
                </a:ext>
              </a:extLst>
            </xdr:cNvPr>
            <xdr:cNvPicPr/>
          </xdr:nvPicPr>
          <xdr:blipFill>
            <a:blip xmlns:r="http://schemas.openxmlformats.org/officeDocument/2006/relationships" r:embed="rId852"/>
            <a:stretch>
              <a:fillRect/>
            </a:stretch>
          </xdr:blipFill>
          <xdr:spPr>
            <a:xfrm>
              <a:off x="2290320" y="3857400"/>
              <a:ext cx="74160" cy="22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217628</xdr:colOff>
      <xdr:row>33</xdr:row>
      <xdr:rowOff>156880</xdr:rowOff>
    </xdr:from>
    <xdr:to>
      <xdr:col>12</xdr:col>
      <xdr:colOff>303308</xdr:colOff>
      <xdr:row>34</xdr:row>
      <xdr:rowOff>136584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3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12E54552-4A8A-A3B3-DA61-36B89E93FA04}"/>
                </a:ext>
                <a:ext uri="{147F2762-F138-4A5C-976F-8EAC2B608ADB}">
                  <a16:predDERef xmlns:a16="http://schemas.microsoft.com/office/drawing/2014/main" pred="{51DBE537-E465-F9D3-96B1-E3B7684685E6}"/>
                </a:ext>
              </a:extLst>
            </xdr14:cNvPr>
            <xdr14:cNvContentPartPr/>
          </xdr14:nvContentPartPr>
          <xdr14:nvPr macro=""/>
          <xdr14:xfrm>
            <a:off x="9025693" y="7121396"/>
            <a:ext cx="85680" cy="184543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12E54552-4A8A-A3B3-DA61-36B89E93FA04}"/>
                </a:ext>
                <a:ext uri="{147F2762-F138-4A5C-976F-8EAC2B608ADB}">
                  <a16:predDERef xmlns:a16="http://schemas.microsoft.com/office/drawing/2014/main" pred="{51DBE537-E465-F9D3-96B1-E3B7684685E6}"/>
                </a:ext>
              </a:extLst>
            </xdr:cNvPr>
            <xdr:cNvPicPr/>
          </xdr:nvPicPr>
          <xdr:blipFill>
            <a:blip xmlns:r="http://schemas.openxmlformats.org/officeDocument/2006/relationships" r:embed="rId854"/>
            <a:stretch>
              <a:fillRect/>
            </a:stretch>
          </xdr:blipFill>
          <xdr:spPr>
            <a:xfrm>
              <a:off x="8391960" y="4362480"/>
              <a:ext cx="10692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312308</xdr:colOff>
      <xdr:row>34</xdr:row>
      <xdr:rowOff>57384</xdr:rowOff>
    </xdr:from>
    <xdr:to>
      <xdr:col>12</xdr:col>
      <xdr:colOff>368108</xdr:colOff>
      <xdr:row>35</xdr:row>
      <xdr:rowOff>4690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5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75A6E384-87FE-7B32-EA36-01090ABF0495}"/>
                </a:ext>
                <a:ext uri="{147F2762-F138-4A5C-976F-8EAC2B608ADB}">
                  <a16:predDERef xmlns:a16="http://schemas.microsoft.com/office/drawing/2014/main" pred="{12E54552-4A8A-A3B3-DA61-36B89E93FA04}"/>
                </a:ext>
              </a:extLst>
            </xdr14:cNvPr>
            <xdr14:cNvContentPartPr/>
          </xdr14:nvContentPartPr>
          <xdr14:nvPr macro=""/>
          <xdr14:xfrm>
            <a:off x="9120373" y="7226739"/>
            <a:ext cx="55800" cy="152145"/>
          </xdr14:xfrm>
        </xdr:contentPart>
      </mc:Choice>
      <mc:Fallback xmlns=""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75A6E384-87FE-7B32-EA36-01090ABF0495}"/>
                </a:ext>
                <a:ext uri="{147F2762-F138-4A5C-976F-8EAC2B608ADB}">
                  <a16:predDERef xmlns:a16="http://schemas.microsoft.com/office/drawing/2014/main" pred="{12E54552-4A8A-A3B3-DA61-36B89E93FA04}"/>
                </a:ext>
              </a:extLst>
            </xdr:cNvPr>
            <xdr:cNvPicPr/>
          </xdr:nvPicPr>
          <xdr:blipFill>
            <a:blip xmlns:r="http://schemas.openxmlformats.org/officeDocument/2006/relationships" r:embed="rId856"/>
            <a:stretch>
              <a:fillRect/>
            </a:stretch>
          </xdr:blipFill>
          <xdr:spPr>
            <a:xfrm>
              <a:off x="8486640" y="4455000"/>
              <a:ext cx="7704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471428</xdr:colOff>
      <xdr:row>34</xdr:row>
      <xdr:rowOff>17424</xdr:rowOff>
    </xdr:from>
    <xdr:to>
      <xdr:col>12</xdr:col>
      <xdr:colOff>515708</xdr:colOff>
      <xdr:row>34</xdr:row>
      <xdr:rowOff>27864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7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33A7774B-CE8B-647C-200B-07A4D3C74CF2}"/>
                </a:ext>
                <a:ext uri="{147F2762-F138-4A5C-976F-8EAC2B608ADB}">
                  <a16:predDERef xmlns:a16="http://schemas.microsoft.com/office/drawing/2014/main" pred="{75A6E384-87FE-7B32-EA36-01090ABF0495}"/>
                </a:ext>
              </a:extLst>
            </xdr14:cNvPr>
            <xdr14:cNvContentPartPr/>
          </xdr14:nvContentPartPr>
          <xdr14:nvPr macro=""/>
          <xdr14:xfrm>
            <a:off x="9279493" y="7186779"/>
            <a:ext cx="44280" cy="1044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33A7774B-CE8B-647C-200B-07A4D3C74CF2}"/>
                </a:ext>
                <a:ext uri="{147F2762-F138-4A5C-976F-8EAC2B608ADB}">
                  <a16:predDERef xmlns:a16="http://schemas.microsoft.com/office/drawing/2014/main" pred="{75A6E384-87FE-7B32-EA36-01090ABF0495}"/>
                </a:ext>
              </a:extLst>
            </xdr:cNvPr>
            <xdr:cNvPicPr/>
          </xdr:nvPicPr>
          <xdr:blipFill>
            <a:blip xmlns:r="http://schemas.openxmlformats.org/officeDocument/2006/relationships" r:embed="rId858"/>
            <a:stretch>
              <a:fillRect/>
            </a:stretch>
          </xdr:blipFill>
          <xdr:spPr>
            <a:xfrm>
              <a:off x="8646120" y="4415040"/>
              <a:ext cx="6552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479348</xdr:colOff>
      <xdr:row>34</xdr:row>
      <xdr:rowOff>48384</xdr:rowOff>
    </xdr:from>
    <xdr:to>
      <xdr:col>12</xdr:col>
      <xdr:colOff>538748</xdr:colOff>
      <xdr:row>34</xdr:row>
      <xdr:rowOff>74304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9">
          <xdr14:nvContentPartPr>
            <xdr14:cNvPr id="440" name="Ink 439">
              <a:extLst>
                <a:ext uri="{FF2B5EF4-FFF2-40B4-BE49-F238E27FC236}">
                  <a16:creationId xmlns:a16="http://schemas.microsoft.com/office/drawing/2014/main" id="{B9DB549E-890E-E58D-A1FE-6749FB37DAF6}"/>
                </a:ext>
                <a:ext uri="{147F2762-F138-4A5C-976F-8EAC2B608ADB}">
                  <a16:predDERef xmlns:a16="http://schemas.microsoft.com/office/drawing/2014/main" pred="{33A7774B-CE8B-647C-200B-07A4D3C74CF2}"/>
                </a:ext>
              </a:extLst>
            </xdr14:cNvPr>
            <xdr14:cNvContentPartPr/>
          </xdr14:nvContentPartPr>
          <xdr14:nvPr macro=""/>
          <xdr14:xfrm>
            <a:off x="9287413" y="7217739"/>
            <a:ext cx="59400" cy="25920"/>
          </xdr14:xfrm>
        </xdr:contentPart>
      </mc:Choice>
      <mc:Fallback xmlns="">
        <xdr:pic>
          <xdr:nvPicPr>
            <xdr:cNvPr id="440" name="Ink 439">
              <a:extLst>
                <a:ext uri="{FF2B5EF4-FFF2-40B4-BE49-F238E27FC236}">
                  <a16:creationId xmlns:a16="http://schemas.microsoft.com/office/drawing/2014/main" id="{B9DB549E-890E-E58D-A1FE-6749FB37DAF6}"/>
                </a:ext>
                <a:ext uri="{147F2762-F138-4A5C-976F-8EAC2B608ADB}">
                  <a16:predDERef xmlns:a16="http://schemas.microsoft.com/office/drawing/2014/main" pred="{33A7774B-CE8B-647C-200B-07A4D3C74CF2}"/>
                </a:ext>
              </a:extLst>
            </xdr:cNvPr>
            <xdr:cNvPicPr/>
          </xdr:nvPicPr>
          <xdr:blipFill>
            <a:blip xmlns:r="http://schemas.openxmlformats.org/officeDocument/2006/relationships" r:embed="rId860"/>
            <a:stretch>
              <a:fillRect/>
            </a:stretch>
          </xdr:blipFill>
          <xdr:spPr>
            <a:xfrm>
              <a:off x="8654040" y="4445640"/>
              <a:ext cx="8064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21268</xdr:colOff>
      <xdr:row>33</xdr:row>
      <xdr:rowOff>157240</xdr:rowOff>
    </xdr:from>
    <xdr:to>
      <xdr:col>13</xdr:col>
      <xdr:colOff>102268</xdr:colOff>
      <xdr:row>34</xdr:row>
      <xdr:rowOff>147744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1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7C583D8C-BE75-8678-766A-222483DCCEF0}"/>
                </a:ext>
                <a:ext uri="{147F2762-F138-4A5C-976F-8EAC2B608ADB}">
                  <a16:predDERef xmlns:a16="http://schemas.microsoft.com/office/drawing/2014/main" pred="{B9DB549E-890E-E58D-A1FE-6749FB37DAF6}"/>
                </a:ext>
              </a:extLst>
            </xdr14:cNvPr>
            <xdr14:cNvContentPartPr/>
          </xdr14:nvContentPartPr>
          <xdr14:nvPr macro=""/>
          <xdr14:xfrm>
            <a:off x="9566752" y="7121756"/>
            <a:ext cx="81000" cy="195343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7C583D8C-BE75-8678-766A-222483DCCEF0}"/>
                </a:ext>
                <a:ext uri="{147F2762-F138-4A5C-976F-8EAC2B608ADB}">
                  <a16:predDERef xmlns:a16="http://schemas.microsoft.com/office/drawing/2014/main" pred="{B9DB549E-890E-E58D-A1FE-6749FB37DAF6}"/>
                </a:ext>
              </a:extLst>
            </xdr:cNvPr>
            <xdr:cNvPicPr/>
          </xdr:nvPicPr>
          <xdr:blipFill>
            <a:blip xmlns:r="http://schemas.openxmlformats.org/officeDocument/2006/relationships" r:embed="rId862"/>
            <a:stretch>
              <a:fillRect/>
            </a:stretch>
          </xdr:blipFill>
          <xdr:spPr>
            <a:xfrm>
              <a:off x="8856000" y="4362840"/>
              <a:ext cx="10224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134308</xdr:colOff>
      <xdr:row>34</xdr:row>
      <xdr:rowOff>39384</xdr:rowOff>
    </xdr:from>
    <xdr:to>
      <xdr:col>13</xdr:col>
      <xdr:colOff>374428</xdr:colOff>
      <xdr:row>34</xdr:row>
      <xdr:rowOff>166104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3">
          <xdr14:nvContentPartPr>
            <xdr14:cNvPr id="442" name="Ink 441">
              <a:extLst>
                <a:ext uri="{FF2B5EF4-FFF2-40B4-BE49-F238E27FC236}">
                  <a16:creationId xmlns:a16="http://schemas.microsoft.com/office/drawing/2014/main" id="{BFF46B90-8BC7-C4DB-B9D7-ED1010BD3B3E}"/>
                </a:ext>
                <a:ext uri="{147F2762-F138-4A5C-976F-8EAC2B608ADB}">
                  <a16:predDERef xmlns:a16="http://schemas.microsoft.com/office/drawing/2014/main" pred="{7C583D8C-BE75-8678-766A-222483DCCEF0}"/>
                </a:ext>
              </a:extLst>
            </xdr14:cNvPr>
            <xdr14:cNvContentPartPr/>
          </xdr14:nvContentPartPr>
          <xdr14:nvPr macro=""/>
          <xdr14:xfrm>
            <a:off x="9679792" y="7208739"/>
            <a:ext cx="240120" cy="126720"/>
          </xdr14:xfrm>
        </xdr:contentPart>
      </mc:Choice>
      <mc:Fallback xmlns="">
        <xdr:pic>
          <xdr:nvPicPr>
            <xdr:cNvPr id="442" name="Ink 441">
              <a:extLst>
                <a:ext uri="{FF2B5EF4-FFF2-40B4-BE49-F238E27FC236}">
                  <a16:creationId xmlns:a16="http://schemas.microsoft.com/office/drawing/2014/main" id="{BFF46B90-8BC7-C4DB-B9D7-ED1010BD3B3E}"/>
                </a:ext>
                <a:ext uri="{147F2762-F138-4A5C-976F-8EAC2B608ADB}">
                  <a16:predDERef xmlns:a16="http://schemas.microsoft.com/office/drawing/2014/main" pred="{7C583D8C-BE75-8678-766A-222483DCCEF0}"/>
                </a:ext>
              </a:extLst>
            </xdr:cNvPr>
            <xdr:cNvPicPr/>
          </xdr:nvPicPr>
          <xdr:blipFill>
            <a:blip xmlns:r="http://schemas.openxmlformats.org/officeDocument/2006/relationships" r:embed="rId864"/>
            <a:stretch>
              <a:fillRect/>
            </a:stretch>
          </xdr:blipFill>
          <xdr:spPr>
            <a:xfrm>
              <a:off x="8969400" y="4436640"/>
              <a:ext cx="26136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397468</xdr:colOff>
      <xdr:row>34</xdr:row>
      <xdr:rowOff>53064</xdr:rowOff>
    </xdr:from>
    <xdr:to>
      <xdr:col>13</xdr:col>
      <xdr:colOff>451108</xdr:colOff>
      <xdr:row>34</xdr:row>
      <xdr:rowOff>164304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5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8C006826-3FCD-A26B-FABE-2922E35063FD}"/>
                </a:ext>
                <a:ext uri="{147F2762-F138-4A5C-976F-8EAC2B608ADB}">
                  <a16:predDERef xmlns:a16="http://schemas.microsoft.com/office/drawing/2014/main" pred="{BFF46B90-8BC7-C4DB-B9D7-ED1010BD3B3E}"/>
                </a:ext>
              </a:extLst>
            </xdr14:cNvPr>
            <xdr14:cNvContentPartPr/>
          </xdr14:nvContentPartPr>
          <xdr14:nvPr macro=""/>
          <xdr14:xfrm>
            <a:off x="9942952" y="7222419"/>
            <a:ext cx="53640" cy="11124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8C006826-3FCD-A26B-FABE-2922E35063FD}"/>
                </a:ext>
                <a:ext uri="{147F2762-F138-4A5C-976F-8EAC2B608ADB}">
                  <a16:predDERef xmlns:a16="http://schemas.microsoft.com/office/drawing/2014/main" pred="{BFF46B90-8BC7-C4DB-B9D7-ED1010BD3B3E}"/>
                </a:ext>
              </a:extLst>
            </xdr:cNvPr>
            <xdr:cNvPicPr/>
          </xdr:nvPicPr>
          <xdr:blipFill>
            <a:blip xmlns:r="http://schemas.openxmlformats.org/officeDocument/2006/relationships" r:embed="rId866"/>
            <a:stretch>
              <a:fillRect/>
            </a:stretch>
          </xdr:blipFill>
          <xdr:spPr>
            <a:xfrm>
              <a:off x="9232560" y="4450320"/>
              <a:ext cx="7488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478468</xdr:colOff>
      <xdr:row>34</xdr:row>
      <xdr:rowOff>18504</xdr:rowOff>
    </xdr:from>
    <xdr:to>
      <xdr:col>13</xdr:col>
      <xdr:colOff>501868</xdr:colOff>
      <xdr:row>34</xdr:row>
      <xdr:rowOff>97344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7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51E75229-7627-9CB1-8812-068777C94625}"/>
                </a:ext>
                <a:ext uri="{147F2762-F138-4A5C-976F-8EAC2B608ADB}">
                  <a16:predDERef xmlns:a16="http://schemas.microsoft.com/office/drawing/2014/main" pred="{8C006826-3FCD-A26B-FABE-2922E35063FD}"/>
                </a:ext>
              </a:extLst>
            </xdr14:cNvPr>
            <xdr14:cNvContentPartPr/>
          </xdr14:nvContentPartPr>
          <xdr14:nvPr macro=""/>
          <xdr14:xfrm>
            <a:off x="10023952" y="7187859"/>
            <a:ext cx="23400" cy="7884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51E75229-7627-9CB1-8812-068777C94625}"/>
                </a:ext>
                <a:ext uri="{147F2762-F138-4A5C-976F-8EAC2B608ADB}">
                  <a16:predDERef xmlns:a16="http://schemas.microsoft.com/office/drawing/2014/main" pred="{8C006826-3FCD-A26B-FABE-2922E35063FD}"/>
                </a:ext>
              </a:extLst>
            </xdr:cNvPr>
            <xdr:cNvPicPr/>
          </xdr:nvPicPr>
          <xdr:blipFill>
            <a:blip xmlns:r="http://schemas.openxmlformats.org/officeDocument/2006/relationships" r:embed="rId868"/>
            <a:stretch>
              <a:fillRect/>
            </a:stretch>
          </xdr:blipFill>
          <xdr:spPr>
            <a:xfrm>
              <a:off x="9313200" y="4416120"/>
              <a:ext cx="44640" cy="10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510868</xdr:colOff>
      <xdr:row>34</xdr:row>
      <xdr:rowOff>36864</xdr:rowOff>
    </xdr:from>
    <xdr:to>
      <xdr:col>13</xdr:col>
      <xdr:colOff>589708</xdr:colOff>
      <xdr:row>34</xdr:row>
      <xdr:rowOff>180144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9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DDF11F6C-B89B-C07D-8C74-16DF2C813B5C}"/>
                </a:ext>
                <a:ext uri="{147F2762-F138-4A5C-976F-8EAC2B608ADB}">
                  <a16:predDERef xmlns:a16="http://schemas.microsoft.com/office/drawing/2014/main" pred="{51E75229-7627-9CB1-8812-068777C94625}"/>
                </a:ext>
              </a:extLst>
            </xdr14:cNvPr>
            <xdr14:cNvContentPartPr/>
          </xdr14:nvContentPartPr>
          <xdr14:nvPr macro=""/>
          <xdr14:xfrm>
            <a:off x="10056352" y="7206219"/>
            <a:ext cx="78840" cy="14328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DDF11F6C-B89B-C07D-8C74-16DF2C813B5C}"/>
                </a:ext>
                <a:ext uri="{147F2762-F138-4A5C-976F-8EAC2B608ADB}">
                  <a16:predDERef xmlns:a16="http://schemas.microsoft.com/office/drawing/2014/main" pred="{51E75229-7627-9CB1-8812-068777C94625}"/>
                </a:ext>
              </a:extLst>
            </xdr:cNvPr>
            <xdr:cNvPicPr/>
          </xdr:nvPicPr>
          <xdr:blipFill>
            <a:blip xmlns:r="http://schemas.openxmlformats.org/officeDocument/2006/relationships" r:embed="rId870"/>
            <a:stretch>
              <a:fillRect/>
            </a:stretch>
          </xdr:blipFill>
          <xdr:spPr>
            <a:xfrm>
              <a:off x="9345600" y="4434120"/>
              <a:ext cx="10008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321374</xdr:colOff>
      <xdr:row>32</xdr:row>
      <xdr:rowOff>105895</xdr:rowOff>
    </xdr:from>
    <xdr:to>
      <xdr:col>14</xdr:col>
      <xdr:colOff>425774</xdr:colOff>
      <xdr:row>33</xdr:row>
      <xdr:rowOff>96040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1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FB330B8B-4DA9-F6DD-8981-5909550F3485}"/>
                </a:ext>
                <a:ext uri="{147F2762-F138-4A5C-976F-8EAC2B608ADB}">
                  <a16:predDERef xmlns:a16="http://schemas.microsoft.com/office/drawing/2014/main" pred="{DDF11F6C-B89B-C07D-8C74-16DF2C813B5C}"/>
                </a:ext>
              </a:extLst>
            </xdr14:cNvPr>
            <xdr14:cNvContentPartPr/>
          </xdr14:nvContentPartPr>
          <xdr14:nvPr macro=""/>
          <xdr14:xfrm>
            <a:off x="10563309" y="6865572"/>
            <a:ext cx="104400" cy="194984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FB330B8B-4DA9-F6DD-8981-5909550F3485}"/>
                </a:ext>
                <a:ext uri="{147F2762-F138-4A5C-976F-8EAC2B608ADB}">
                  <a16:predDERef xmlns:a16="http://schemas.microsoft.com/office/drawing/2014/main" pred="{DDF11F6C-B89B-C07D-8C74-16DF2C813B5C}"/>
                </a:ext>
              </a:extLst>
            </xdr:cNvPr>
            <xdr:cNvPicPr/>
          </xdr:nvPicPr>
          <xdr:blipFill>
            <a:blip xmlns:r="http://schemas.openxmlformats.org/officeDocument/2006/relationships" r:embed="rId872"/>
            <a:stretch>
              <a:fillRect/>
            </a:stretch>
          </xdr:blipFill>
          <xdr:spPr>
            <a:xfrm>
              <a:off x="9805320" y="4120200"/>
              <a:ext cx="12564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453134</xdr:colOff>
      <xdr:row>33</xdr:row>
      <xdr:rowOff>20440</xdr:rowOff>
    </xdr:from>
    <xdr:to>
      <xdr:col>14</xdr:col>
      <xdr:colOff>497414</xdr:colOff>
      <xdr:row>33</xdr:row>
      <xdr:rowOff>115120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3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A8E2C38B-8077-2001-BEB1-3E5E009B4629}"/>
                </a:ext>
                <a:ext uri="{147F2762-F138-4A5C-976F-8EAC2B608ADB}">
                  <a16:predDERef xmlns:a16="http://schemas.microsoft.com/office/drawing/2014/main" pred="{FB330B8B-4DA9-F6DD-8981-5909550F3485}"/>
                </a:ext>
              </a:extLst>
            </xdr14:cNvPr>
            <xdr14:cNvContentPartPr/>
          </xdr14:nvContentPartPr>
          <xdr14:nvPr macro=""/>
          <xdr14:xfrm>
            <a:off x="10695069" y="6984956"/>
            <a:ext cx="44280" cy="94680"/>
          </xdr14:xfrm>
        </xdr:contentPart>
      </mc:Choice>
      <mc:Fallback xmlns=""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A8E2C38B-8077-2001-BEB1-3E5E009B4629}"/>
                </a:ext>
                <a:ext uri="{147F2762-F138-4A5C-976F-8EAC2B608ADB}">
                  <a16:predDERef xmlns:a16="http://schemas.microsoft.com/office/drawing/2014/main" pred="{FB330B8B-4DA9-F6DD-8981-5909550F3485}"/>
                </a:ext>
              </a:extLst>
            </xdr:cNvPr>
            <xdr:cNvPicPr/>
          </xdr:nvPicPr>
          <xdr:blipFill>
            <a:blip xmlns:r="http://schemas.openxmlformats.org/officeDocument/2006/relationships" r:embed="rId874"/>
            <a:stretch>
              <a:fillRect/>
            </a:stretch>
          </xdr:blipFill>
          <xdr:spPr>
            <a:xfrm>
              <a:off x="9936720" y="4226400"/>
              <a:ext cx="6552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84494</xdr:colOff>
      <xdr:row>33</xdr:row>
      <xdr:rowOff>142840</xdr:rowOff>
    </xdr:from>
    <xdr:to>
      <xdr:col>14</xdr:col>
      <xdr:colOff>624221</xdr:colOff>
      <xdr:row>33</xdr:row>
      <xdr:rowOff>161560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5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64EA974F-29B2-0E54-2742-F7FC3AA5B4CA}"/>
                </a:ext>
                <a:ext uri="{147F2762-F138-4A5C-976F-8EAC2B608ADB}">
                  <a16:predDERef xmlns:a16="http://schemas.microsoft.com/office/drawing/2014/main" pred="{A8E2C38B-8077-2001-BEB1-3E5E009B4629}"/>
                </a:ext>
              </a:extLst>
            </xdr14:cNvPr>
            <xdr14:cNvContentPartPr/>
          </xdr14:nvContentPartPr>
          <xdr14:nvPr macro=""/>
          <xdr14:xfrm>
            <a:off x="10326429" y="7107356"/>
            <a:ext cx="615927" cy="18720"/>
          </xdr14:xfrm>
        </xdr:contentPart>
      </mc:Choice>
      <mc:Fallback xmlns=""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64EA974F-29B2-0E54-2742-F7FC3AA5B4CA}"/>
                </a:ext>
                <a:ext uri="{147F2762-F138-4A5C-976F-8EAC2B608ADB}">
                  <a16:predDERef xmlns:a16="http://schemas.microsoft.com/office/drawing/2014/main" pred="{A8E2C38B-8077-2001-BEB1-3E5E009B4629}"/>
                </a:ext>
              </a:extLst>
            </xdr:cNvPr>
            <xdr:cNvPicPr/>
          </xdr:nvPicPr>
          <xdr:blipFill>
            <a:blip xmlns:r="http://schemas.openxmlformats.org/officeDocument/2006/relationships" r:embed="rId876"/>
            <a:stretch>
              <a:fillRect/>
            </a:stretch>
          </xdr:blipFill>
          <xdr:spPr>
            <a:xfrm>
              <a:off x="9568440" y="4348800"/>
              <a:ext cx="57708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120494</xdr:colOff>
      <xdr:row>34</xdr:row>
      <xdr:rowOff>36864</xdr:rowOff>
    </xdr:from>
    <xdr:to>
      <xdr:col>14</xdr:col>
      <xdr:colOff>238574</xdr:colOff>
      <xdr:row>35</xdr:row>
      <xdr:rowOff>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7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C19CFB25-D78B-3938-E010-CE617B1BAC4B}"/>
                </a:ext>
                <a:ext uri="{147F2762-F138-4A5C-976F-8EAC2B608ADB}">
                  <a16:predDERef xmlns:a16="http://schemas.microsoft.com/office/drawing/2014/main" pred="{64EA974F-29B2-0E54-2742-F7FC3AA5B4CA}"/>
                </a:ext>
              </a:extLst>
            </xdr14:cNvPr>
            <xdr14:cNvContentPartPr/>
          </xdr14:nvContentPartPr>
          <xdr14:nvPr macro=""/>
          <xdr14:xfrm>
            <a:off x="10362429" y="7206219"/>
            <a:ext cx="118080" cy="167985"/>
          </xdr14:xfrm>
        </xdr:contentPart>
      </mc:Choice>
      <mc:Fallback xmlns=""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C19CFB25-D78B-3938-E010-CE617B1BAC4B}"/>
                </a:ext>
                <a:ext uri="{147F2762-F138-4A5C-976F-8EAC2B608ADB}">
                  <a16:predDERef xmlns:a16="http://schemas.microsoft.com/office/drawing/2014/main" pred="{64EA974F-29B2-0E54-2742-F7FC3AA5B4CA}"/>
                </a:ext>
              </a:extLst>
            </xdr:cNvPr>
            <xdr:cNvPicPr/>
          </xdr:nvPicPr>
          <xdr:blipFill>
            <a:blip xmlns:r="http://schemas.openxmlformats.org/officeDocument/2006/relationships" r:embed="rId878"/>
            <a:stretch>
              <a:fillRect/>
            </a:stretch>
          </xdr:blipFill>
          <xdr:spPr>
            <a:xfrm>
              <a:off x="9604080" y="4434120"/>
              <a:ext cx="1393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265934</xdr:colOff>
      <xdr:row>34</xdr:row>
      <xdr:rowOff>76104</xdr:rowOff>
    </xdr:from>
    <xdr:to>
      <xdr:col>14</xdr:col>
      <xdr:colOff>356294</xdr:colOff>
      <xdr:row>34</xdr:row>
      <xdr:rowOff>97344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9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22DE71EA-ED7B-2BAB-58A1-E58A28439A45}"/>
                </a:ext>
                <a:ext uri="{147F2762-F138-4A5C-976F-8EAC2B608ADB}">
                  <a16:predDERef xmlns:a16="http://schemas.microsoft.com/office/drawing/2014/main" pred="{C19CFB25-D78B-3938-E010-CE617B1BAC4B}"/>
                </a:ext>
              </a:extLst>
            </xdr14:cNvPr>
            <xdr14:cNvContentPartPr/>
          </xdr14:nvContentPartPr>
          <xdr14:nvPr macro=""/>
          <xdr14:xfrm>
            <a:off x="10507869" y="7245459"/>
            <a:ext cx="90360" cy="21240"/>
          </xdr14:xfrm>
        </xdr:contentPart>
      </mc:Choice>
      <mc:Fallback xmlns=""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22DE71EA-ED7B-2BAB-58A1-E58A28439A45}"/>
                </a:ext>
                <a:ext uri="{147F2762-F138-4A5C-976F-8EAC2B608ADB}">
                  <a16:predDERef xmlns:a16="http://schemas.microsoft.com/office/drawing/2014/main" pred="{C19CFB25-D78B-3938-E010-CE617B1BAC4B}"/>
                </a:ext>
              </a:extLst>
            </xdr:cNvPr>
            <xdr:cNvPicPr/>
          </xdr:nvPicPr>
          <xdr:blipFill>
            <a:blip xmlns:r="http://schemas.openxmlformats.org/officeDocument/2006/relationships" r:embed="rId880"/>
            <a:stretch>
              <a:fillRect/>
            </a:stretch>
          </xdr:blipFill>
          <xdr:spPr>
            <a:xfrm>
              <a:off x="9749880" y="4473360"/>
              <a:ext cx="111600" cy="4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330734</xdr:colOff>
      <xdr:row>34</xdr:row>
      <xdr:rowOff>43704</xdr:rowOff>
    </xdr:from>
    <xdr:to>
      <xdr:col>14</xdr:col>
      <xdr:colOff>344774</xdr:colOff>
      <xdr:row>34</xdr:row>
      <xdr:rowOff>146664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1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85DAFE9C-87BC-ACAC-55D5-467EAE8A9A42}"/>
                </a:ext>
                <a:ext uri="{147F2762-F138-4A5C-976F-8EAC2B608ADB}">
                  <a16:predDERef xmlns:a16="http://schemas.microsoft.com/office/drawing/2014/main" pred="{22DE71EA-ED7B-2BAB-58A1-E58A28439A45}"/>
                </a:ext>
              </a:extLst>
            </xdr14:cNvPr>
            <xdr14:cNvContentPartPr/>
          </xdr14:nvContentPartPr>
          <xdr14:nvPr macro=""/>
          <xdr14:xfrm>
            <a:off x="10572669" y="7213059"/>
            <a:ext cx="14040" cy="10296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85DAFE9C-87BC-ACAC-55D5-467EAE8A9A42}"/>
                </a:ext>
                <a:ext uri="{147F2762-F138-4A5C-976F-8EAC2B608ADB}">
                  <a16:predDERef xmlns:a16="http://schemas.microsoft.com/office/drawing/2014/main" pred="{22DE71EA-ED7B-2BAB-58A1-E58A28439A45}"/>
                </a:ext>
              </a:extLst>
            </xdr:cNvPr>
            <xdr:cNvPicPr/>
          </xdr:nvPicPr>
          <xdr:blipFill>
            <a:blip xmlns:r="http://schemas.openxmlformats.org/officeDocument/2006/relationships" r:embed="rId882"/>
            <a:stretch>
              <a:fillRect/>
            </a:stretch>
          </xdr:blipFill>
          <xdr:spPr>
            <a:xfrm>
              <a:off x="9814320" y="4440960"/>
              <a:ext cx="3528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402374</xdr:colOff>
      <xdr:row>34</xdr:row>
      <xdr:rowOff>43704</xdr:rowOff>
    </xdr:from>
    <xdr:to>
      <xdr:col>14</xdr:col>
      <xdr:colOff>502094</xdr:colOff>
      <xdr:row>34</xdr:row>
      <xdr:rowOff>184824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3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F203B330-F199-72F4-88A6-D47D10E461AB}"/>
                </a:ext>
                <a:ext uri="{147F2762-F138-4A5C-976F-8EAC2B608ADB}">
                  <a16:predDERef xmlns:a16="http://schemas.microsoft.com/office/drawing/2014/main" pred="{85DAFE9C-87BC-ACAC-55D5-467EAE8A9A42}"/>
                </a:ext>
              </a:extLst>
            </xdr14:cNvPr>
            <xdr14:cNvContentPartPr/>
          </xdr14:nvContentPartPr>
          <xdr14:nvPr macro=""/>
          <xdr14:xfrm>
            <a:off x="10644309" y="7213059"/>
            <a:ext cx="99720" cy="141120"/>
          </xdr14:xfrm>
        </xdr:contentPart>
      </mc:Choice>
      <mc:Fallback xmlns=""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F203B330-F199-72F4-88A6-D47D10E461AB}"/>
                </a:ext>
                <a:ext uri="{147F2762-F138-4A5C-976F-8EAC2B608ADB}">
                  <a16:predDERef xmlns:a16="http://schemas.microsoft.com/office/drawing/2014/main" pred="{85DAFE9C-87BC-ACAC-55D5-467EAE8A9A42}"/>
                </a:ext>
              </a:extLst>
            </xdr:cNvPr>
            <xdr:cNvPicPr/>
          </xdr:nvPicPr>
          <xdr:blipFill>
            <a:blip xmlns:r="http://schemas.openxmlformats.org/officeDocument/2006/relationships" r:embed="rId884"/>
            <a:stretch>
              <a:fillRect/>
            </a:stretch>
          </xdr:blipFill>
          <xdr:spPr>
            <a:xfrm>
              <a:off x="9885960" y="4440960"/>
              <a:ext cx="12096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520094</xdr:colOff>
      <xdr:row>34</xdr:row>
      <xdr:rowOff>129384</xdr:rowOff>
    </xdr:from>
    <xdr:to>
      <xdr:col>14</xdr:col>
      <xdr:colOff>564014</xdr:colOff>
      <xdr:row>35</xdr:row>
      <xdr:rowOff>40690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5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22424194-0BAE-20D2-4663-FC5B31773DD0}"/>
                </a:ext>
                <a:ext uri="{147F2762-F138-4A5C-976F-8EAC2B608ADB}">
                  <a16:predDERef xmlns:a16="http://schemas.microsoft.com/office/drawing/2014/main" pred="{F203B330-F199-72F4-88A6-D47D10E461AB}"/>
                </a:ext>
              </a:extLst>
            </xdr14:cNvPr>
            <xdr14:cNvContentPartPr/>
          </xdr14:nvContentPartPr>
          <xdr14:nvPr macro=""/>
          <xdr14:xfrm>
            <a:off x="10762029" y="7298739"/>
            <a:ext cx="43920" cy="116145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22424194-0BAE-20D2-4663-FC5B31773DD0}"/>
                </a:ext>
                <a:ext uri="{147F2762-F138-4A5C-976F-8EAC2B608ADB}">
                  <a16:predDERef xmlns:a16="http://schemas.microsoft.com/office/drawing/2014/main" pred="{F203B330-F199-72F4-88A6-D47D10E461AB}"/>
                </a:ext>
              </a:extLst>
            </xdr:cNvPr>
            <xdr:cNvPicPr/>
          </xdr:nvPicPr>
          <xdr:blipFill>
            <a:blip xmlns:r="http://schemas.openxmlformats.org/officeDocument/2006/relationships" r:embed="rId886"/>
            <a:stretch>
              <a:fillRect/>
            </a:stretch>
          </xdr:blipFill>
          <xdr:spPr>
            <a:xfrm>
              <a:off x="10003680" y="4527000"/>
              <a:ext cx="6516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260927</xdr:colOff>
      <xdr:row>35</xdr:row>
      <xdr:rowOff>148364</xdr:rowOff>
    </xdr:from>
    <xdr:to>
      <xdr:col>12</xdr:col>
      <xdr:colOff>342647</xdr:colOff>
      <xdr:row>36</xdr:row>
      <xdr:rowOff>153587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7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A38376FC-2FB8-CDDA-4E34-B6EB3BEF8C86}"/>
                </a:ext>
                <a:ext uri="{147F2762-F138-4A5C-976F-8EAC2B608ADB}">
                  <a16:predDERef xmlns:a16="http://schemas.microsoft.com/office/drawing/2014/main" pred="{22424194-0BAE-20D2-4663-FC5B31773DD0}"/>
                </a:ext>
              </a:extLst>
            </xdr14:cNvPr>
            <xdr14:cNvContentPartPr/>
          </xdr14:nvContentPartPr>
          <xdr14:nvPr macro=""/>
          <xdr14:xfrm>
            <a:off x="9068992" y="7522558"/>
            <a:ext cx="81720" cy="210061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A38376FC-2FB8-CDDA-4E34-B6EB3BEF8C86}"/>
                </a:ext>
                <a:ext uri="{147F2762-F138-4A5C-976F-8EAC2B608ADB}">
                  <a16:predDERef xmlns:a16="http://schemas.microsoft.com/office/drawing/2014/main" pred="{22424194-0BAE-20D2-4663-FC5B31773DD0}"/>
                </a:ext>
              </a:extLst>
            </xdr:cNvPr>
            <xdr:cNvPicPr/>
          </xdr:nvPicPr>
          <xdr:blipFill>
            <a:blip xmlns:r="http://schemas.openxmlformats.org/officeDocument/2006/relationships" r:embed="rId888"/>
            <a:stretch>
              <a:fillRect/>
            </a:stretch>
          </xdr:blipFill>
          <xdr:spPr>
            <a:xfrm>
              <a:off x="8428680" y="4738680"/>
              <a:ext cx="10296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382967</xdr:colOff>
      <xdr:row>35</xdr:row>
      <xdr:rowOff>177164</xdr:rowOff>
    </xdr:from>
    <xdr:to>
      <xdr:col>12</xdr:col>
      <xdr:colOff>481607</xdr:colOff>
      <xdr:row>36</xdr:row>
      <xdr:rowOff>134507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9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8F8A2A94-3C8A-862B-DB30-F8E5C7FCD019}"/>
                </a:ext>
                <a:ext uri="{147F2762-F138-4A5C-976F-8EAC2B608ADB}">
                  <a16:predDERef xmlns:a16="http://schemas.microsoft.com/office/drawing/2014/main" pred="{A38376FC-2FB8-CDDA-4E34-B6EB3BEF8C86}"/>
                </a:ext>
              </a:extLst>
            </xdr14:cNvPr>
            <xdr14:cNvContentPartPr/>
          </xdr14:nvContentPartPr>
          <xdr14:nvPr macro=""/>
          <xdr14:xfrm>
            <a:off x="9191032" y="7551358"/>
            <a:ext cx="98640" cy="162181"/>
          </xdr14:xfrm>
        </xdr:contentPart>
      </mc:Choice>
      <mc:Fallback xmlns=""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8F8A2A94-3C8A-862B-DB30-F8E5C7FCD019}"/>
                </a:ext>
                <a:ext uri="{147F2762-F138-4A5C-976F-8EAC2B608ADB}">
                  <a16:predDERef xmlns:a16="http://schemas.microsoft.com/office/drawing/2014/main" pred="{A38376FC-2FB8-CDDA-4E34-B6EB3BEF8C86}"/>
                </a:ext>
              </a:extLst>
            </xdr:cNvPr>
            <xdr:cNvPicPr/>
          </xdr:nvPicPr>
          <xdr:blipFill>
            <a:blip xmlns:r="http://schemas.openxmlformats.org/officeDocument/2006/relationships" r:embed="rId890"/>
            <a:stretch>
              <a:fillRect/>
            </a:stretch>
          </xdr:blipFill>
          <xdr:spPr>
            <a:xfrm>
              <a:off x="8551080" y="4767120"/>
              <a:ext cx="1198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495647</xdr:colOff>
      <xdr:row>36</xdr:row>
      <xdr:rowOff>71867</xdr:rowOff>
    </xdr:from>
    <xdr:to>
      <xdr:col>12</xdr:col>
      <xdr:colOff>529487</xdr:colOff>
      <xdr:row>37</xdr:row>
      <xdr:rowOff>9768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1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BC2C112D-C773-BEAC-34C3-D1AF0E87AF2C}"/>
                </a:ext>
                <a:ext uri="{147F2762-F138-4A5C-976F-8EAC2B608ADB}">
                  <a16:predDERef xmlns:a16="http://schemas.microsoft.com/office/drawing/2014/main" pred="{8F8A2A94-3C8A-862B-DB30-F8E5C7FCD019}"/>
                </a:ext>
              </a:extLst>
            </xdr14:cNvPr>
            <xdr14:cNvContentPartPr/>
          </xdr14:nvContentPartPr>
          <xdr14:nvPr macro=""/>
          <xdr14:xfrm>
            <a:off x="9303712" y="7650899"/>
            <a:ext cx="33840" cy="142740"/>
          </xdr14:xfrm>
        </xdr:contentPart>
      </mc:Choice>
      <mc:Fallback xmlns=""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BC2C112D-C773-BEAC-34C3-D1AF0E87AF2C}"/>
                </a:ext>
                <a:ext uri="{147F2762-F138-4A5C-976F-8EAC2B608ADB}">
                  <a16:predDERef xmlns:a16="http://schemas.microsoft.com/office/drawing/2014/main" pred="{8F8A2A94-3C8A-862B-DB30-F8E5C7FCD019}"/>
                </a:ext>
              </a:extLst>
            </xdr:cNvPr>
            <xdr:cNvPicPr/>
          </xdr:nvPicPr>
          <xdr:blipFill>
            <a:blip xmlns:r="http://schemas.openxmlformats.org/officeDocument/2006/relationships" r:embed="rId892"/>
            <a:stretch>
              <a:fillRect/>
            </a:stretch>
          </xdr:blipFill>
          <xdr:spPr>
            <a:xfrm>
              <a:off x="8663400" y="4853520"/>
              <a:ext cx="5508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244007</xdr:colOff>
      <xdr:row>36</xdr:row>
      <xdr:rowOff>138827</xdr:rowOff>
    </xdr:from>
    <xdr:to>
      <xdr:col>12</xdr:col>
      <xdr:colOff>565487</xdr:colOff>
      <xdr:row>37</xdr:row>
      <xdr:rowOff>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3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0A3234F4-07D1-0A4D-4618-2FB8B6633E5A}"/>
                </a:ext>
                <a:ext uri="{147F2762-F138-4A5C-976F-8EAC2B608ADB}">
                  <a16:predDERef xmlns:a16="http://schemas.microsoft.com/office/drawing/2014/main" pred="{BC2C112D-C773-BEAC-34C3-D1AF0E87AF2C}"/>
                </a:ext>
              </a:extLst>
            </xdr14:cNvPr>
            <xdr14:cNvContentPartPr/>
          </xdr14:nvContentPartPr>
          <xdr14:nvPr macro=""/>
          <xdr14:xfrm>
            <a:off x="9052072" y="7717859"/>
            <a:ext cx="321480" cy="66060"/>
          </xdr14:xfrm>
        </xdr:contentPart>
      </mc:Choice>
      <mc:Fallback xmlns=""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0A3234F4-07D1-0A4D-4618-2FB8B6633E5A}"/>
                </a:ext>
                <a:ext uri="{147F2762-F138-4A5C-976F-8EAC2B608ADB}">
                  <a16:predDERef xmlns:a16="http://schemas.microsoft.com/office/drawing/2014/main" pred="{BC2C112D-C773-BEAC-34C3-D1AF0E87AF2C}"/>
                </a:ext>
              </a:extLst>
            </xdr:cNvPr>
            <xdr:cNvPicPr/>
          </xdr:nvPicPr>
          <xdr:blipFill>
            <a:blip xmlns:r="http://schemas.openxmlformats.org/officeDocument/2006/relationships" r:embed="rId894"/>
            <a:stretch>
              <a:fillRect/>
            </a:stretch>
          </xdr:blipFill>
          <xdr:spPr>
            <a:xfrm>
              <a:off x="8411760" y="4920480"/>
              <a:ext cx="34272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291887</xdr:colOff>
      <xdr:row>37</xdr:row>
      <xdr:rowOff>52608</xdr:rowOff>
    </xdr:from>
    <xdr:to>
      <xdr:col>12</xdr:col>
      <xdr:colOff>393047</xdr:colOff>
      <xdr:row>38</xdr:row>
      <xdr:rowOff>21470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5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D3C07867-A7C2-64C5-62FD-003E528A4D75}"/>
                </a:ext>
                <a:ext uri="{147F2762-F138-4A5C-976F-8EAC2B608ADB}">
                  <a16:predDERef xmlns:a16="http://schemas.microsoft.com/office/drawing/2014/main" pred="{0A3234F4-07D1-0A4D-4618-2FB8B6633E5A}"/>
                </a:ext>
              </a:extLst>
            </xdr14:cNvPr>
            <xdr14:cNvContentPartPr/>
          </xdr14:nvContentPartPr>
          <xdr14:nvPr macro=""/>
          <xdr14:xfrm>
            <a:off x="9099952" y="7836479"/>
            <a:ext cx="101160" cy="173701"/>
          </xdr14:xfrm>
        </xdr:contentPart>
      </mc:Choice>
      <mc:Fallback xmlns=""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D3C07867-A7C2-64C5-62FD-003E528A4D75}"/>
                </a:ext>
                <a:ext uri="{147F2762-F138-4A5C-976F-8EAC2B608ADB}">
                  <a16:predDERef xmlns:a16="http://schemas.microsoft.com/office/drawing/2014/main" pred="{0A3234F4-07D1-0A4D-4618-2FB8B6633E5A}"/>
                </a:ext>
              </a:extLst>
            </xdr:cNvPr>
            <xdr:cNvPicPr/>
          </xdr:nvPicPr>
          <xdr:blipFill>
            <a:blip xmlns:r="http://schemas.openxmlformats.org/officeDocument/2006/relationships" r:embed="rId896"/>
            <a:stretch>
              <a:fillRect/>
            </a:stretch>
          </xdr:blipFill>
          <xdr:spPr>
            <a:xfrm>
              <a:off x="8460000" y="5025960"/>
              <a:ext cx="122400" cy="18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402047</xdr:colOff>
      <xdr:row>37</xdr:row>
      <xdr:rowOff>114888</xdr:rowOff>
    </xdr:from>
    <xdr:to>
      <xdr:col>12</xdr:col>
      <xdr:colOff>435887</xdr:colOff>
      <xdr:row>38</xdr:row>
      <xdr:rowOff>57830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7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6A57CE6F-C228-8355-5417-328CB5ABFF3C}"/>
                </a:ext>
                <a:ext uri="{147F2762-F138-4A5C-976F-8EAC2B608ADB}">
                  <a16:predDERef xmlns:a16="http://schemas.microsoft.com/office/drawing/2014/main" pred="{D3C07867-A7C2-64C5-62FD-003E528A4D75}"/>
                </a:ext>
              </a:extLst>
            </xdr14:cNvPr>
            <xdr14:cNvContentPartPr/>
          </xdr14:nvContentPartPr>
          <xdr14:nvPr macro=""/>
          <xdr14:xfrm>
            <a:off x="9210112" y="7898759"/>
            <a:ext cx="33840" cy="147781"/>
          </xdr14:xfrm>
        </xdr:contentPart>
      </mc:Choice>
      <mc:Fallback xmlns=""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6A57CE6F-C228-8355-5417-328CB5ABFF3C}"/>
                </a:ext>
                <a:ext uri="{147F2762-F138-4A5C-976F-8EAC2B608ADB}">
                  <a16:predDERef xmlns:a16="http://schemas.microsoft.com/office/drawing/2014/main" pred="{D3C07867-A7C2-64C5-62FD-003E528A4D75}"/>
                </a:ext>
              </a:extLst>
            </xdr:cNvPr>
            <xdr:cNvPicPr/>
          </xdr:nvPicPr>
          <xdr:blipFill>
            <a:blip xmlns:r="http://schemas.openxmlformats.org/officeDocument/2006/relationships" r:embed="rId898"/>
            <a:stretch>
              <a:fillRect/>
            </a:stretch>
          </xdr:blipFill>
          <xdr:spPr>
            <a:xfrm>
              <a:off x="8570160" y="5088240"/>
              <a:ext cx="5508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449927</xdr:colOff>
      <xdr:row>37</xdr:row>
      <xdr:rowOff>133968</xdr:rowOff>
    </xdr:from>
    <xdr:to>
      <xdr:col>12</xdr:col>
      <xdr:colOff>572327</xdr:colOff>
      <xdr:row>38</xdr:row>
      <xdr:rowOff>56750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9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8811991F-437D-D309-7B07-4B906C06AA69}"/>
                </a:ext>
                <a:ext uri="{147F2762-F138-4A5C-976F-8EAC2B608ADB}">
                  <a16:predDERef xmlns:a16="http://schemas.microsoft.com/office/drawing/2014/main" pred="{6A57CE6F-C228-8355-5417-328CB5ABFF3C}"/>
                </a:ext>
              </a:extLst>
            </xdr14:cNvPr>
            <xdr14:cNvContentPartPr/>
          </xdr14:nvContentPartPr>
          <xdr14:nvPr macro=""/>
          <xdr14:xfrm>
            <a:off x="9257992" y="7917839"/>
            <a:ext cx="122400" cy="127621"/>
          </xdr14:xfrm>
        </xdr:contentPart>
      </mc:Choice>
      <mc:Fallback xmlns=""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8811991F-437D-D309-7B07-4B906C06AA69}"/>
                </a:ext>
                <a:ext uri="{147F2762-F138-4A5C-976F-8EAC2B608ADB}">
                  <a16:predDERef xmlns:a16="http://schemas.microsoft.com/office/drawing/2014/main" pred="{6A57CE6F-C228-8355-5417-328CB5ABFF3C}"/>
                </a:ext>
              </a:extLst>
            </xdr:cNvPr>
            <xdr:cNvPicPr/>
          </xdr:nvPicPr>
          <xdr:blipFill>
            <a:blip xmlns:r="http://schemas.openxmlformats.org/officeDocument/2006/relationships" r:embed="rId900"/>
            <a:stretch>
              <a:fillRect/>
            </a:stretch>
          </xdr:blipFill>
          <xdr:spPr>
            <a:xfrm>
              <a:off x="8618040" y="5107680"/>
              <a:ext cx="14364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227087</xdr:colOff>
      <xdr:row>37</xdr:row>
      <xdr:rowOff>67008</xdr:rowOff>
    </xdr:from>
    <xdr:to>
      <xdr:col>12</xdr:col>
      <xdr:colOff>277847</xdr:colOff>
      <xdr:row>38</xdr:row>
      <xdr:rowOff>33710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1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BB676B70-2EB1-2BF9-4EB8-E9A436907781}"/>
                </a:ext>
                <a:ext uri="{147F2762-F138-4A5C-976F-8EAC2B608ADB}">
                  <a16:predDERef xmlns:a16="http://schemas.microsoft.com/office/drawing/2014/main" pred="{8811991F-437D-D309-7B07-4B906C06AA69}"/>
                </a:ext>
              </a:extLst>
            </xdr14:cNvPr>
            <xdr14:cNvContentPartPr/>
          </xdr14:nvContentPartPr>
          <xdr14:nvPr macro=""/>
          <xdr14:xfrm>
            <a:off x="9035152" y="7850879"/>
            <a:ext cx="50760" cy="171541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BB676B70-2EB1-2BF9-4EB8-E9A436907781}"/>
                </a:ext>
                <a:ext uri="{147F2762-F138-4A5C-976F-8EAC2B608ADB}">
                  <a16:predDERef xmlns:a16="http://schemas.microsoft.com/office/drawing/2014/main" pred="{8811991F-437D-D309-7B07-4B906C06AA69}"/>
                </a:ext>
              </a:extLst>
            </xdr:cNvPr>
            <xdr:cNvPicPr/>
          </xdr:nvPicPr>
          <xdr:blipFill>
            <a:blip xmlns:r="http://schemas.openxmlformats.org/officeDocument/2006/relationships" r:embed="rId902"/>
            <a:stretch>
              <a:fillRect/>
            </a:stretch>
          </xdr:blipFill>
          <xdr:spPr>
            <a:xfrm>
              <a:off x="8395200" y="5040360"/>
              <a:ext cx="7200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9249</xdr:colOff>
      <xdr:row>36</xdr:row>
      <xdr:rowOff>108947</xdr:rowOff>
    </xdr:from>
    <xdr:to>
      <xdr:col>13</xdr:col>
      <xdr:colOff>57489</xdr:colOff>
      <xdr:row>36</xdr:row>
      <xdr:rowOff>115067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3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C601FD63-C8DB-7A06-FB32-0436510A3509}"/>
                </a:ext>
                <a:ext uri="{147F2762-F138-4A5C-976F-8EAC2B608ADB}">
                  <a16:predDERef xmlns:a16="http://schemas.microsoft.com/office/drawing/2014/main" pred="{BB676B70-2EB1-2BF9-4EB8-E9A436907781}"/>
                </a:ext>
              </a:extLst>
            </xdr14:cNvPr>
            <xdr14:cNvContentPartPr/>
          </xdr14:nvContentPartPr>
          <xdr14:nvPr macro=""/>
          <xdr14:xfrm>
            <a:off x="9554733" y="7687979"/>
            <a:ext cx="48240" cy="612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C601FD63-C8DB-7A06-FB32-0436510A3509}"/>
                </a:ext>
                <a:ext uri="{147F2762-F138-4A5C-976F-8EAC2B608ADB}">
                  <a16:predDERef xmlns:a16="http://schemas.microsoft.com/office/drawing/2014/main" pred="{BB676B70-2EB1-2BF9-4EB8-E9A436907781}"/>
                </a:ext>
              </a:extLst>
            </xdr:cNvPr>
            <xdr:cNvPicPr/>
          </xdr:nvPicPr>
          <xdr:blipFill>
            <a:blip xmlns:r="http://schemas.openxmlformats.org/officeDocument/2006/relationships" r:embed="rId904"/>
            <a:stretch>
              <a:fillRect/>
            </a:stretch>
          </xdr:blipFill>
          <xdr:spPr>
            <a:xfrm>
              <a:off x="8838360" y="4890960"/>
              <a:ext cx="6948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16449</xdr:colOff>
      <xdr:row>36</xdr:row>
      <xdr:rowOff>142787</xdr:rowOff>
    </xdr:from>
    <xdr:to>
      <xdr:col>13</xdr:col>
      <xdr:colOff>62169</xdr:colOff>
      <xdr:row>36</xdr:row>
      <xdr:rowOff>151067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5">
          <xdr14:nvContentPartPr>
            <xdr14:cNvPr id="469" name="Ink 468">
              <a:extLst>
                <a:ext uri="{FF2B5EF4-FFF2-40B4-BE49-F238E27FC236}">
                  <a16:creationId xmlns:a16="http://schemas.microsoft.com/office/drawing/2014/main" id="{DBEBC8EF-75C1-1A39-F06F-DB4864E714D7}"/>
                </a:ext>
                <a:ext uri="{147F2762-F138-4A5C-976F-8EAC2B608ADB}">
                  <a16:predDERef xmlns:a16="http://schemas.microsoft.com/office/drawing/2014/main" pred="{C601FD63-C8DB-7A06-FB32-0436510A3509}"/>
                </a:ext>
              </a:extLst>
            </xdr14:cNvPr>
            <xdr14:cNvContentPartPr/>
          </xdr14:nvContentPartPr>
          <xdr14:nvPr macro=""/>
          <xdr14:xfrm>
            <a:off x="9561933" y="7721819"/>
            <a:ext cx="45720" cy="8280"/>
          </xdr14:xfrm>
        </xdr:contentPart>
      </mc:Choice>
      <mc:Fallback xmlns=""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DBEBC8EF-75C1-1A39-F06F-DB4864E714D7}"/>
                </a:ext>
                <a:ext uri="{147F2762-F138-4A5C-976F-8EAC2B608ADB}">
                  <a16:predDERef xmlns:a16="http://schemas.microsoft.com/office/drawing/2014/main" pred="{C601FD63-C8DB-7A06-FB32-0436510A3509}"/>
                </a:ext>
              </a:extLst>
            </xdr:cNvPr>
            <xdr:cNvPicPr/>
          </xdr:nvPicPr>
          <xdr:blipFill>
            <a:blip xmlns:r="http://schemas.openxmlformats.org/officeDocument/2006/relationships" r:embed="rId906"/>
            <a:stretch>
              <a:fillRect/>
            </a:stretch>
          </xdr:blipFill>
          <xdr:spPr>
            <a:xfrm>
              <a:off x="8845560" y="4924800"/>
              <a:ext cx="66960" cy="2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418929</xdr:colOff>
      <xdr:row>35</xdr:row>
      <xdr:rowOff>115244</xdr:rowOff>
    </xdr:from>
    <xdr:to>
      <xdr:col>13</xdr:col>
      <xdr:colOff>495969</xdr:colOff>
      <xdr:row>36</xdr:row>
      <xdr:rowOff>92747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7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C9B02D47-E285-BDB5-4C3D-64ECE11E3DFB}"/>
                </a:ext>
                <a:ext uri="{147F2762-F138-4A5C-976F-8EAC2B608ADB}">
                  <a16:predDERef xmlns:a16="http://schemas.microsoft.com/office/drawing/2014/main" pred="{DBEBC8EF-75C1-1A39-F06F-DB4864E714D7}"/>
                </a:ext>
              </a:extLst>
            </xdr14:cNvPr>
            <xdr14:cNvContentPartPr/>
          </xdr14:nvContentPartPr>
          <xdr14:nvPr macro=""/>
          <xdr14:xfrm>
            <a:off x="9964413" y="7489438"/>
            <a:ext cx="77040" cy="182341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C9B02D47-E285-BDB5-4C3D-64ECE11E3DFB}"/>
                </a:ext>
                <a:ext uri="{147F2762-F138-4A5C-976F-8EAC2B608ADB}">
                  <a16:predDERef xmlns:a16="http://schemas.microsoft.com/office/drawing/2014/main" pred="{DBEBC8EF-75C1-1A39-F06F-DB4864E714D7}"/>
                </a:ext>
              </a:extLst>
            </xdr:cNvPr>
            <xdr:cNvPicPr/>
          </xdr:nvPicPr>
          <xdr:blipFill>
            <a:blip xmlns:r="http://schemas.openxmlformats.org/officeDocument/2006/relationships" r:embed="rId908"/>
            <a:stretch>
              <a:fillRect/>
            </a:stretch>
          </xdr:blipFill>
          <xdr:spPr>
            <a:xfrm>
              <a:off x="9248040" y="4705200"/>
              <a:ext cx="98280" cy="19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519729</xdr:colOff>
      <xdr:row>36</xdr:row>
      <xdr:rowOff>9227</xdr:rowOff>
    </xdr:from>
    <xdr:to>
      <xdr:col>13</xdr:col>
      <xdr:colOff>548889</xdr:colOff>
      <xdr:row>36</xdr:row>
      <xdr:rowOff>112547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9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2BBC35E4-3854-A347-6752-F127C34D0F06}"/>
                </a:ext>
                <a:ext uri="{147F2762-F138-4A5C-976F-8EAC2B608ADB}">
                  <a16:predDERef xmlns:a16="http://schemas.microsoft.com/office/drawing/2014/main" pred="{C9B02D47-E285-BDB5-4C3D-64ECE11E3DFB}"/>
                </a:ext>
              </a:extLst>
            </xdr14:cNvPr>
            <xdr14:cNvContentPartPr/>
          </xdr14:nvContentPartPr>
          <xdr14:nvPr macro=""/>
          <xdr14:xfrm>
            <a:off x="10065213" y="7588259"/>
            <a:ext cx="29160" cy="10332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2BBC35E4-3854-A347-6752-F127C34D0F06}"/>
                </a:ext>
                <a:ext uri="{147F2762-F138-4A5C-976F-8EAC2B608ADB}">
                  <a16:predDERef xmlns:a16="http://schemas.microsoft.com/office/drawing/2014/main" pred="{C9B02D47-E285-BDB5-4C3D-64ECE11E3DFB}"/>
                </a:ext>
              </a:extLst>
            </xdr:cNvPr>
            <xdr:cNvPicPr/>
          </xdr:nvPicPr>
          <xdr:blipFill>
            <a:blip xmlns:r="http://schemas.openxmlformats.org/officeDocument/2006/relationships" r:embed="rId910"/>
            <a:stretch>
              <a:fillRect/>
            </a:stretch>
          </xdr:blipFill>
          <xdr:spPr>
            <a:xfrm>
              <a:off x="9348840" y="4791240"/>
              <a:ext cx="50400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236769</xdr:colOff>
      <xdr:row>36</xdr:row>
      <xdr:rowOff>112547</xdr:rowOff>
    </xdr:from>
    <xdr:to>
      <xdr:col>14</xdr:col>
      <xdr:colOff>4532</xdr:colOff>
      <xdr:row>36</xdr:row>
      <xdr:rowOff>127307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1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CEE49A54-D2F9-30E1-99EF-60A3DF1287FF}"/>
                </a:ext>
                <a:ext uri="{147F2762-F138-4A5C-976F-8EAC2B608ADB}">
                  <a16:predDERef xmlns:a16="http://schemas.microsoft.com/office/drawing/2014/main" pred="{2BBC35E4-3854-A347-6752-F127C34D0F06}"/>
                </a:ext>
              </a:extLst>
            </xdr14:cNvPr>
            <xdr14:cNvContentPartPr/>
          </xdr14:nvContentPartPr>
          <xdr14:nvPr macro=""/>
          <xdr14:xfrm>
            <a:off x="9782253" y="7691579"/>
            <a:ext cx="453563" cy="1476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CEE49A54-D2F9-30E1-99EF-60A3DF1287FF}"/>
                </a:ext>
                <a:ext uri="{147F2762-F138-4A5C-976F-8EAC2B608ADB}">
                  <a16:predDERef xmlns:a16="http://schemas.microsoft.com/office/drawing/2014/main" pred="{2BBC35E4-3854-A347-6752-F127C34D0F06}"/>
                </a:ext>
              </a:extLst>
            </xdr:cNvPr>
            <xdr:cNvPicPr/>
          </xdr:nvPicPr>
          <xdr:blipFill>
            <a:blip xmlns:r="http://schemas.openxmlformats.org/officeDocument/2006/relationships" r:embed="rId912"/>
            <a:stretch>
              <a:fillRect/>
            </a:stretch>
          </xdr:blipFill>
          <xdr:spPr>
            <a:xfrm>
              <a:off x="9066240" y="4894200"/>
              <a:ext cx="4338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327849</xdr:colOff>
      <xdr:row>36</xdr:row>
      <xdr:rowOff>179867</xdr:rowOff>
    </xdr:from>
    <xdr:to>
      <xdr:col>13</xdr:col>
      <xdr:colOff>400929</xdr:colOff>
      <xdr:row>37</xdr:row>
      <xdr:rowOff>150168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3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0BDF0788-9098-533F-2D2B-7D92037A1B98}"/>
                </a:ext>
                <a:ext uri="{147F2762-F138-4A5C-976F-8EAC2B608ADB}">
                  <a16:predDERef xmlns:a16="http://schemas.microsoft.com/office/drawing/2014/main" pred="{CEE49A54-D2F9-30E1-99EF-60A3DF1287FF}"/>
                </a:ext>
              </a:extLst>
            </xdr14:cNvPr>
            <xdr14:cNvContentPartPr/>
          </xdr14:nvContentPartPr>
          <xdr14:nvPr macro=""/>
          <xdr14:xfrm>
            <a:off x="9873333" y="7758899"/>
            <a:ext cx="73080" cy="175140"/>
          </xdr14:xfrm>
        </xdr:contentPart>
      </mc:Choice>
      <mc:Fallback xmlns=""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0BDF0788-9098-533F-2D2B-7D92037A1B98}"/>
                </a:ext>
                <a:ext uri="{147F2762-F138-4A5C-976F-8EAC2B608ADB}">
                  <a16:predDERef xmlns:a16="http://schemas.microsoft.com/office/drawing/2014/main" pred="{CEE49A54-D2F9-30E1-99EF-60A3DF1287FF}"/>
                </a:ext>
              </a:extLst>
            </xdr:cNvPr>
            <xdr:cNvPicPr/>
          </xdr:nvPicPr>
          <xdr:blipFill>
            <a:blip xmlns:r="http://schemas.openxmlformats.org/officeDocument/2006/relationships" r:embed="rId914"/>
            <a:stretch>
              <a:fillRect/>
            </a:stretch>
          </xdr:blipFill>
          <xdr:spPr>
            <a:xfrm>
              <a:off x="9157320" y="4961520"/>
              <a:ext cx="9432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407049</xdr:colOff>
      <xdr:row>37</xdr:row>
      <xdr:rowOff>64488</xdr:rowOff>
    </xdr:from>
    <xdr:to>
      <xdr:col>13</xdr:col>
      <xdr:colOff>465009</xdr:colOff>
      <xdr:row>37</xdr:row>
      <xdr:rowOff>79248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5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85E4094F-D3B2-FAED-7304-1D2E80D80072}"/>
                </a:ext>
                <a:ext uri="{147F2762-F138-4A5C-976F-8EAC2B608ADB}">
                  <a16:predDERef xmlns:a16="http://schemas.microsoft.com/office/drawing/2014/main" pred="{0BDF0788-9098-533F-2D2B-7D92037A1B98}"/>
                </a:ext>
              </a:extLst>
            </xdr14:cNvPr>
            <xdr14:cNvContentPartPr/>
          </xdr14:nvContentPartPr>
          <xdr14:nvPr macro=""/>
          <xdr14:xfrm>
            <a:off x="9952533" y="7848359"/>
            <a:ext cx="57960" cy="14760"/>
          </xdr14:xfrm>
        </xdr:contentPart>
      </mc:Choice>
      <mc:Fallback xmlns=""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85E4094F-D3B2-FAED-7304-1D2E80D80072}"/>
                </a:ext>
                <a:ext uri="{147F2762-F138-4A5C-976F-8EAC2B608ADB}">
                  <a16:predDERef xmlns:a16="http://schemas.microsoft.com/office/drawing/2014/main" pred="{0BDF0788-9098-533F-2D2B-7D92037A1B98}"/>
                </a:ext>
              </a:extLst>
            </xdr:cNvPr>
            <xdr:cNvPicPr/>
          </xdr:nvPicPr>
          <xdr:blipFill>
            <a:blip xmlns:r="http://schemas.openxmlformats.org/officeDocument/2006/relationships" r:embed="rId916"/>
            <a:stretch>
              <a:fillRect/>
            </a:stretch>
          </xdr:blipFill>
          <xdr:spPr>
            <a:xfrm>
              <a:off x="9236160" y="5038200"/>
              <a:ext cx="792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454929</xdr:colOff>
      <xdr:row>37</xdr:row>
      <xdr:rowOff>38208</xdr:rowOff>
    </xdr:from>
    <xdr:to>
      <xdr:col>13</xdr:col>
      <xdr:colOff>472209</xdr:colOff>
      <xdr:row>37</xdr:row>
      <xdr:rowOff>103368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7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8FEC553A-9EA5-DE6A-2463-0E78FE807E75}"/>
                </a:ext>
                <a:ext uri="{147F2762-F138-4A5C-976F-8EAC2B608ADB}">
                  <a16:predDERef xmlns:a16="http://schemas.microsoft.com/office/drawing/2014/main" pred="{85E4094F-D3B2-FAED-7304-1D2E80D80072}"/>
                </a:ext>
              </a:extLst>
            </xdr14:cNvPr>
            <xdr14:cNvContentPartPr/>
          </xdr14:nvContentPartPr>
          <xdr14:nvPr macro=""/>
          <xdr14:xfrm>
            <a:off x="10000413" y="7822079"/>
            <a:ext cx="17280" cy="6516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8FEC553A-9EA5-DE6A-2463-0E78FE807E75}"/>
                </a:ext>
                <a:ext uri="{147F2762-F138-4A5C-976F-8EAC2B608ADB}">
                  <a16:predDERef xmlns:a16="http://schemas.microsoft.com/office/drawing/2014/main" pred="{85E4094F-D3B2-FAED-7304-1D2E80D80072}"/>
                </a:ext>
              </a:extLst>
            </xdr:cNvPr>
            <xdr:cNvPicPr/>
          </xdr:nvPicPr>
          <xdr:blipFill>
            <a:blip xmlns:r="http://schemas.openxmlformats.org/officeDocument/2006/relationships" r:embed="rId918"/>
            <a:stretch>
              <a:fillRect/>
            </a:stretch>
          </xdr:blipFill>
          <xdr:spPr>
            <a:xfrm>
              <a:off x="9284040" y="5011560"/>
              <a:ext cx="3852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510009</xdr:colOff>
      <xdr:row>37</xdr:row>
      <xdr:rowOff>16608</xdr:rowOff>
    </xdr:from>
    <xdr:to>
      <xdr:col>13</xdr:col>
      <xdr:colOff>582369</xdr:colOff>
      <xdr:row>37</xdr:row>
      <xdr:rowOff>136848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9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AA7D751D-3906-075B-AC35-B5620EBA0B4E}"/>
                </a:ext>
                <a:ext uri="{147F2762-F138-4A5C-976F-8EAC2B608ADB}">
                  <a16:predDERef xmlns:a16="http://schemas.microsoft.com/office/drawing/2014/main" pred="{8FEC553A-9EA5-DE6A-2463-0E78FE807E75}"/>
                </a:ext>
              </a:extLst>
            </xdr14:cNvPr>
            <xdr14:cNvContentPartPr/>
          </xdr14:nvContentPartPr>
          <xdr14:nvPr macro=""/>
          <xdr14:xfrm>
            <a:off x="10055493" y="7800479"/>
            <a:ext cx="72360" cy="120240"/>
          </xdr14:xfrm>
        </xdr:contentPart>
      </mc:Choice>
      <mc:Fallback xmlns=""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AA7D751D-3906-075B-AC35-B5620EBA0B4E}"/>
                </a:ext>
                <a:ext uri="{147F2762-F138-4A5C-976F-8EAC2B608ADB}">
                  <a16:predDERef xmlns:a16="http://schemas.microsoft.com/office/drawing/2014/main" pred="{8FEC553A-9EA5-DE6A-2463-0E78FE807E75}"/>
                </a:ext>
              </a:extLst>
            </xdr:cNvPr>
            <xdr:cNvPicPr/>
          </xdr:nvPicPr>
          <xdr:blipFill>
            <a:blip xmlns:r="http://schemas.openxmlformats.org/officeDocument/2006/relationships" r:embed="rId920"/>
            <a:stretch>
              <a:fillRect/>
            </a:stretch>
          </xdr:blipFill>
          <xdr:spPr>
            <a:xfrm>
              <a:off x="9339120" y="4989960"/>
              <a:ext cx="936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601089</xdr:colOff>
      <xdr:row>37</xdr:row>
      <xdr:rowOff>76728</xdr:rowOff>
    </xdr:from>
    <xdr:to>
      <xdr:col>14</xdr:col>
      <xdr:colOff>4532</xdr:colOff>
      <xdr:row>37</xdr:row>
      <xdr:rowOff>177528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1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918AEC16-FEC9-23B2-9415-D8DB3CEF9D5A}"/>
                </a:ext>
                <a:ext uri="{147F2762-F138-4A5C-976F-8EAC2B608ADB}">
                  <a16:predDERef xmlns:a16="http://schemas.microsoft.com/office/drawing/2014/main" pred="{AA7D751D-3906-075B-AC35-B5620EBA0B4E}"/>
                </a:ext>
              </a:extLst>
            </xdr14:cNvPr>
            <xdr14:cNvContentPartPr/>
          </xdr14:nvContentPartPr>
          <xdr14:nvPr macro=""/>
          <xdr14:xfrm>
            <a:off x="10146573" y="7860599"/>
            <a:ext cx="89243" cy="100800"/>
          </xdr14:xfrm>
        </xdr:contentPart>
      </mc:Choice>
      <mc:Fallback xmlns=""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918AEC16-FEC9-23B2-9415-D8DB3CEF9D5A}"/>
                </a:ext>
                <a:ext uri="{147F2762-F138-4A5C-976F-8EAC2B608ADB}">
                  <a16:predDERef xmlns:a16="http://schemas.microsoft.com/office/drawing/2014/main" pred="{AA7D751D-3906-075B-AC35-B5620EBA0B4E}"/>
                </a:ext>
              </a:extLst>
            </xdr:cNvPr>
            <xdr:cNvPicPr/>
          </xdr:nvPicPr>
          <xdr:blipFill>
            <a:blip xmlns:r="http://schemas.openxmlformats.org/officeDocument/2006/relationships" r:embed="rId922"/>
            <a:stretch>
              <a:fillRect/>
            </a:stretch>
          </xdr:blipFill>
          <xdr:spPr>
            <a:xfrm>
              <a:off x="9430200" y="5050440"/>
              <a:ext cx="6948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253627</xdr:colOff>
      <xdr:row>37</xdr:row>
      <xdr:rowOff>131448</xdr:rowOff>
    </xdr:from>
    <xdr:to>
      <xdr:col>14</xdr:col>
      <xdr:colOff>273067</xdr:colOff>
      <xdr:row>38</xdr:row>
      <xdr:rowOff>3141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3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AA07F821-4705-DEA3-7828-5B7DE85F0609}"/>
                </a:ext>
                <a:ext uri="{147F2762-F138-4A5C-976F-8EAC2B608ADB}">
                  <a16:predDERef xmlns:a16="http://schemas.microsoft.com/office/drawing/2014/main" pred="{918AEC16-FEC9-23B2-9415-D8DB3CEF9D5A}"/>
                </a:ext>
              </a:extLst>
            </xdr14:cNvPr>
            <xdr14:cNvContentPartPr/>
          </xdr14:nvContentPartPr>
          <xdr14:nvPr macro=""/>
          <xdr14:xfrm>
            <a:off x="10495562" y="7915319"/>
            <a:ext cx="19440" cy="76532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AA07F821-4705-DEA3-7828-5B7DE85F0609}"/>
                </a:ext>
                <a:ext uri="{147F2762-F138-4A5C-976F-8EAC2B608ADB}">
                  <a16:predDERef xmlns:a16="http://schemas.microsoft.com/office/drawing/2014/main" pred="{918AEC16-FEC9-23B2-9415-D8DB3CEF9D5A}"/>
                </a:ext>
              </a:extLst>
            </xdr:cNvPr>
            <xdr:cNvPicPr/>
          </xdr:nvPicPr>
          <xdr:blipFill>
            <a:blip xmlns:r="http://schemas.openxmlformats.org/officeDocument/2006/relationships" r:embed="rId924"/>
            <a:stretch>
              <a:fillRect/>
            </a:stretch>
          </xdr:blipFill>
          <xdr:spPr>
            <a:xfrm>
              <a:off x="9729720" y="5105160"/>
              <a:ext cx="40680" cy="7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710569</xdr:colOff>
      <xdr:row>36</xdr:row>
      <xdr:rowOff>18947</xdr:rowOff>
    </xdr:from>
    <xdr:to>
      <xdr:col>15</xdr:col>
      <xdr:colOff>33269</xdr:colOff>
      <xdr:row>37</xdr:row>
      <xdr:rowOff>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5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13D4B825-C86B-A4A6-72D9-C795713BDD5E}"/>
                </a:ext>
                <a:ext uri="{147F2762-F138-4A5C-976F-8EAC2B608ADB}">
                  <a16:predDERef xmlns:a16="http://schemas.microsoft.com/office/drawing/2014/main" pred="{AA07F821-4705-DEA3-7828-5B7DE85F0609}"/>
                </a:ext>
              </a:extLst>
            </xdr14:cNvPr>
            <xdr14:cNvContentPartPr/>
          </xdr14:nvContentPartPr>
          <xdr14:nvPr macro=""/>
          <xdr14:xfrm>
            <a:off x="10952504" y="7597979"/>
            <a:ext cx="60120" cy="186692"/>
          </xdr14:xfrm>
        </xdr:contentPart>
      </mc:Choice>
      <mc:Fallback xmlns=""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13D4B825-C86B-A4A6-72D9-C795713BDD5E}"/>
                </a:ext>
                <a:ext uri="{147F2762-F138-4A5C-976F-8EAC2B608ADB}">
                  <a16:predDERef xmlns:a16="http://schemas.microsoft.com/office/drawing/2014/main" pred="{AA07F821-4705-DEA3-7828-5B7DE85F0609}"/>
                </a:ext>
              </a:extLst>
            </xdr:cNvPr>
            <xdr:cNvPicPr/>
          </xdr:nvPicPr>
          <xdr:blipFill>
            <a:blip xmlns:r="http://schemas.openxmlformats.org/officeDocument/2006/relationships" r:embed="rId926"/>
            <a:stretch>
              <a:fillRect/>
            </a:stretch>
          </xdr:blipFill>
          <xdr:spPr>
            <a:xfrm>
              <a:off x="10110960" y="4800960"/>
              <a:ext cx="8136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136229</xdr:colOff>
      <xdr:row>36</xdr:row>
      <xdr:rowOff>7427</xdr:rowOff>
    </xdr:from>
    <xdr:to>
      <xdr:col>15</xdr:col>
      <xdr:colOff>208589</xdr:colOff>
      <xdr:row>36</xdr:row>
      <xdr:rowOff>166907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7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73F25A2C-78E8-82D1-BB51-F3EE9B80A1D9}"/>
                </a:ext>
                <a:ext uri="{147F2762-F138-4A5C-976F-8EAC2B608ADB}">
                  <a16:predDERef xmlns:a16="http://schemas.microsoft.com/office/drawing/2014/main" pred="{13D4B825-C86B-A4A6-72D9-C795713BDD5E}"/>
                </a:ext>
              </a:extLst>
            </xdr14:cNvPr>
            <xdr14:cNvContentPartPr/>
          </xdr14:nvContentPartPr>
          <xdr14:nvPr macro=""/>
          <xdr14:xfrm>
            <a:off x="11115584" y="7586459"/>
            <a:ext cx="72360" cy="15948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73F25A2C-78E8-82D1-BB51-F3EE9B80A1D9}"/>
                </a:ext>
                <a:ext uri="{147F2762-F138-4A5C-976F-8EAC2B608ADB}">
                  <a16:predDERef xmlns:a16="http://schemas.microsoft.com/office/drawing/2014/main" pred="{13D4B825-C86B-A4A6-72D9-C795713BDD5E}"/>
                </a:ext>
              </a:extLst>
            </xdr:cNvPr>
            <xdr:cNvPicPr/>
          </xdr:nvPicPr>
          <xdr:blipFill>
            <a:blip xmlns:r="http://schemas.openxmlformats.org/officeDocument/2006/relationships" r:embed="rId928"/>
            <a:stretch>
              <a:fillRect/>
            </a:stretch>
          </xdr:blipFill>
          <xdr:spPr>
            <a:xfrm>
              <a:off x="10273680" y="4789080"/>
              <a:ext cx="936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234509</xdr:colOff>
      <xdr:row>36</xdr:row>
      <xdr:rowOff>88427</xdr:rowOff>
    </xdr:from>
    <xdr:to>
      <xdr:col>15</xdr:col>
      <xdr:colOff>278069</xdr:colOff>
      <xdr:row>37</xdr:row>
      <xdr:rowOff>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9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7D1DEC11-E7ED-BC8A-AC26-D7858BED2C2C}"/>
                </a:ext>
                <a:ext uri="{147F2762-F138-4A5C-976F-8EAC2B608ADB}">
                  <a16:predDERef xmlns:a16="http://schemas.microsoft.com/office/drawing/2014/main" pred="{73F25A2C-78E8-82D1-BB51-F3EE9B80A1D9}"/>
                </a:ext>
              </a:extLst>
            </xdr14:cNvPr>
            <xdr14:cNvContentPartPr/>
          </xdr14:nvContentPartPr>
          <xdr14:nvPr macro=""/>
          <xdr14:xfrm>
            <a:off x="11213864" y="7667459"/>
            <a:ext cx="43560" cy="119732"/>
          </xdr14:xfrm>
        </xdr:contentPart>
      </mc:Choice>
      <mc:Fallback xmlns=""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7D1DEC11-E7ED-BC8A-AC26-D7858BED2C2C}"/>
                </a:ext>
                <a:ext uri="{147F2762-F138-4A5C-976F-8EAC2B608ADB}">
                  <a16:predDERef xmlns:a16="http://schemas.microsoft.com/office/drawing/2014/main" pred="{73F25A2C-78E8-82D1-BB51-F3EE9B80A1D9}"/>
                </a:ext>
              </a:extLst>
            </xdr:cNvPr>
            <xdr:cNvPicPr/>
          </xdr:nvPicPr>
          <xdr:blipFill>
            <a:blip xmlns:r="http://schemas.openxmlformats.org/officeDocument/2006/relationships" r:embed="rId930"/>
            <a:stretch>
              <a:fillRect/>
            </a:stretch>
          </xdr:blipFill>
          <xdr:spPr>
            <a:xfrm>
              <a:off x="10371960" y="4870440"/>
              <a:ext cx="6480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703369</xdr:colOff>
      <xdr:row>36</xdr:row>
      <xdr:rowOff>184547</xdr:rowOff>
    </xdr:from>
    <xdr:to>
      <xdr:col>15</xdr:col>
      <xdr:colOff>280229</xdr:colOff>
      <xdr:row>37</xdr:row>
      <xdr:rowOff>19128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1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86000175-308B-8966-1E8A-01CDA4E320A6}"/>
                </a:ext>
                <a:ext uri="{147F2762-F138-4A5C-976F-8EAC2B608ADB}">
                  <a16:predDERef xmlns:a16="http://schemas.microsoft.com/office/drawing/2014/main" pred="{7D1DEC11-E7ED-BC8A-AC26-D7858BED2C2C}"/>
                </a:ext>
              </a:extLst>
            </xdr14:cNvPr>
            <xdr14:cNvContentPartPr/>
          </xdr14:nvContentPartPr>
          <xdr14:nvPr macro=""/>
          <xdr14:xfrm>
            <a:off x="10945304" y="7763579"/>
            <a:ext cx="314280" cy="3942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86000175-308B-8966-1E8A-01CDA4E320A6}"/>
                </a:ext>
                <a:ext uri="{147F2762-F138-4A5C-976F-8EAC2B608ADB}">
                  <a16:predDERef xmlns:a16="http://schemas.microsoft.com/office/drawing/2014/main" pred="{7D1DEC11-E7ED-BC8A-AC26-D7858BED2C2C}"/>
                </a:ext>
              </a:extLst>
            </xdr:cNvPr>
            <xdr:cNvPicPr/>
          </xdr:nvPicPr>
          <xdr:blipFill>
            <a:blip xmlns:r="http://schemas.openxmlformats.org/officeDocument/2006/relationships" r:embed="rId932"/>
            <a:stretch>
              <a:fillRect/>
            </a:stretch>
          </xdr:blipFill>
          <xdr:spPr>
            <a:xfrm>
              <a:off x="10103760" y="4966560"/>
              <a:ext cx="33552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104909</xdr:colOff>
      <xdr:row>35</xdr:row>
      <xdr:rowOff>150884</xdr:rowOff>
    </xdr:from>
    <xdr:to>
      <xdr:col>15</xdr:col>
      <xdr:colOff>215429</xdr:colOff>
      <xdr:row>36</xdr:row>
      <xdr:rowOff>153587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3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236CECE8-D999-D546-9572-AC4ADEAC913C}"/>
                </a:ext>
                <a:ext uri="{147F2762-F138-4A5C-976F-8EAC2B608ADB}">
                  <a16:predDERef xmlns:a16="http://schemas.microsoft.com/office/drawing/2014/main" pred="{86000175-308B-8966-1E8A-01CDA4E320A6}"/>
                </a:ext>
              </a:extLst>
            </xdr14:cNvPr>
            <xdr14:cNvContentPartPr/>
          </xdr14:nvContentPartPr>
          <xdr14:nvPr macro=""/>
          <xdr14:xfrm>
            <a:off x="11084264" y="7525078"/>
            <a:ext cx="110520" cy="207541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236CECE8-D999-D546-9572-AC4ADEAC913C}"/>
                </a:ext>
                <a:ext uri="{147F2762-F138-4A5C-976F-8EAC2B608ADB}">
                  <a16:predDERef xmlns:a16="http://schemas.microsoft.com/office/drawing/2014/main" pred="{86000175-308B-8966-1E8A-01CDA4E320A6}"/>
                </a:ext>
              </a:extLst>
            </xdr:cNvPr>
            <xdr:cNvPicPr/>
          </xdr:nvPicPr>
          <xdr:blipFill>
            <a:blip xmlns:r="http://schemas.openxmlformats.org/officeDocument/2006/relationships" r:embed="rId934"/>
            <a:stretch>
              <a:fillRect/>
            </a:stretch>
          </xdr:blipFill>
          <xdr:spPr>
            <a:xfrm>
              <a:off x="10242720" y="4740840"/>
              <a:ext cx="13176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30749</xdr:colOff>
      <xdr:row>37</xdr:row>
      <xdr:rowOff>54768</xdr:rowOff>
    </xdr:from>
    <xdr:to>
      <xdr:col>15</xdr:col>
      <xdr:colOff>110309</xdr:colOff>
      <xdr:row>38</xdr:row>
      <xdr:rowOff>17870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5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89931DCB-085D-1652-76BB-01286CF0DC56}"/>
                </a:ext>
                <a:ext uri="{147F2762-F138-4A5C-976F-8EAC2B608ADB}">
                  <a16:predDERef xmlns:a16="http://schemas.microsoft.com/office/drawing/2014/main" pred="{236CECE8-D999-D546-9572-AC4ADEAC913C}"/>
                </a:ext>
              </a:extLst>
            </xdr14:cNvPr>
            <xdr14:cNvContentPartPr/>
          </xdr14:nvContentPartPr>
          <xdr14:nvPr macro=""/>
          <xdr14:xfrm>
            <a:off x="11010104" y="7838639"/>
            <a:ext cx="79560" cy="167941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89931DCB-085D-1652-76BB-01286CF0DC56}"/>
                </a:ext>
                <a:ext uri="{147F2762-F138-4A5C-976F-8EAC2B608ADB}">
                  <a16:predDERef xmlns:a16="http://schemas.microsoft.com/office/drawing/2014/main" pred="{236CECE8-D999-D546-9572-AC4ADEAC913C}"/>
                </a:ext>
              </a:extLst>
            </xdr:cNvPr>
            <xdr:cNvPicPr/>
          </xdr:nvPicPr>
          <xdr:blipFill>
            <a:blip xmlns:r="http://schemas.openxmlformats.org/officeDocument/2006/relationships" r:embed="rId936"/>
            <a:stretch>
              <a:fillRect/>
            </a:stretch>
          </xdr:blipFill>
          <xdr:spPr>
            <a:xfrm>
              <a:off x="10168200" y="5028480"/>
              <a:ext cx="1008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140909</xdr:colOff>
      <xdr:row>37</xdr:row>
      <xdr:rowOff>57648</xdr:rowOff>
    </xdr:from>
    <xdr:to>
      <xdr:col>15</xdr:col>
      <xdr:colOff>203549</xdr:colOff>
      <xdr:row>38</xdr:row>
      <xdr:rowOff>14630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7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21C061E5-93AB-943B-155F-FF9F080F9705}"/>
                </a:ext>
                <a:ext uri="{147F2762-F138-4A5C-976F-8EAC2B608ADB}">
                  <a16:predDERef xmlns:a16="http://schemas.microsoft.com/office/drawing/2014/main" pred="{89931DCB-085D-1652-76BB-01286CF0DC56}"/>
                </a:ext>
              </a:extLst>
            </xdr14:cNvPr>
            <xdr14:cNvContentPartPr/>
          </xdr14:nvContentPartPr>
          <xdr14:nvPr macro=""/>
          <xdr14:xfrm>
            <a:off x="11120264" y="7841519"/>
            <a:ext cx="62640" cy="161821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21C061E5-93AB-943B-155F-FF9F080F9705}"/>
                </a:ext>
                <a:ext uri="{147F2762-F138-4A5C-976F-8EAC2B608ADB}">
                  <a16:predDERef xmlns:a16="http://schemas.microsoft.com/office/drawing/2014/main" pred="{89931DCB-085D-1652-76BB-01286CF0DC56}"/>
                </a:ext>
              </a:extLst>
            </xdr:cNvPr>
            <xdr:cNvPicPr/>
          </xdr:nvPicPr>
          <xdr:blipFill>
            <a:blip xmlns:r="http://schemas.openxmlformats.org/officeDocument/2006/relationships" r:embed="rId938"/>
            <a:stretch>
              <a:fillRect/>
            </a:stretch>
          </xdr:blipFill>
          <xdr:spPr>
            <a:xfrm>
              <a:off x="10278720" y="5031000"/>
              <a:ext cx="8388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231989</xdr:colOff>
      <xdr:row>37</xdr:row>
      <xdr:rowOff>141168</xdr:rowOff>
    </xdr:from>
    <xdr:to>
      <xdr:col>15</xdr:col>
      <xdr:colOff>268349</xdr:colOff>
      <xdr:row>38</xdr:row>
      <xdr:rowOff>40550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9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ED71F90A-E6D6-23FB-33B6-4463A2F49FF2}"/>
                </a:ext>
                <a:ext uri="{147F2762-F138-4A5C-976F-8EAC2B608ADB}">
                  <a16:predDERef xmlns:a16="http://schemas.microsoft.com/office/drawing/2014/main" pred="{21C061E5-93AB-943B-155F-FF9F080F9705}"/>
                </a:ext>
              </a:extLst>
            </xdr14:cNvPr>
            <xdr14:cNvContentPartPr/>
          </xdr14:nvContentPartPr>
          <xdr14:nvPr macro=""/>
          <xdr14:xfrm>
            <a:off x="11211344" y="7925039"/>
            <a:ext cx="36360" cy="104221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ED71F90A-E6D6-23FB-33B6-4463A2F49FF2}"/>
                </a:ext>
                <a:ext uri="{147F2762-F138-4A5C-976F-8EAC2B608ADB}">
                  <a16:predDERef xmlns:a16="http://schemas.microsoft.com/office/drawing/2014/main" pred="{21C061E5-93AB-943B-155F-FF9F080F9705}"/>
                </a:ext>
              </a:extLst>
            </xdr:cNvPr>
            <xdr:cNvPicPr/>
          </xdr:nvPicPr>
          <xdr:blipFill>
            <a:blip xmlns:r="http://schemas.openxmlformats.org/officeDocument/2006/relationships" r:embed="rId940"/>
            <a:stretch>
              <a:fillRect/>
            </a:stretch>
          </xdr:blipFill>
          <xdr:spPr>
            <a:xfrm>
              <a:off x="10369800" y="5114880"/>
              <a:ext cx="5760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361589</xdr:colOff>
      <xdr:row>36</xdr:row>
      <xdr:rowOff>173747</xdr:rowOff>
    </xdr:from>
    <xdr:to>
      <xdr:col>15</xdr:col>
      <xdr:colOff>407309</xdr:colOff>
      <xdr:row>36</xdr:row>
      <xdr:rowOff>179867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1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D26E1D5B-CDD9-BED0-FAAD-7BFD605EEBD0}"/>
                </a:ext>
                <a:ext uri="{147F2762-F138-4A5C-976F-8EAC2B608ADB}">
                  <a16:predDERef xmlns:a16="http://schemas.microsoft.com/office/drawing/2014/main" pred="{ED71F90A-E6D6-23FB-33B6-4463A2F49FF2}"/>
                </a:ext>
              </a:extLst>
            </xdr14:cNvPr>
            <xdr14:cNvContentPartPr/>
          </xdr14:nvContentPartPr>
          <xdr14:nvPr macro=""/>
          <xdr14:xfrm>
            <a:off x="11340944" y="7752779"/>
            <a:ext cx="45720" cy="6120"/>
          </xdr14:xfrm>
        </xdr:contentPart>
      </mc:Choice>
      <mc:Fallback xmlns="">
        <xdr:pic>
          <xdr:nvPicPr>
            <xdr:cNvPr id="487" name="Ink 486">
              <a:extLst>
                <a:ext uri="{FF2B5EF4-FFF2-40B4-BE49-F238E27FC236}">
                  <a16:creationId xmlns:a16="http://schemas.microsoft.com/office/drawing/2014/main" id="{D26E1D5B-CDD9-BED0-FAAD-7BFD605EEBD0}"/>
                </a:ext>
                <a:ext uri="{147F2762-F138-4A5C-976F-8EAC2B608ADB}">
                  <a16:predDERef xmlns:a16="http://schemas.microsoft.com/office/drawing/2014/main" pred="{ED71F90A-E6D6-23FB-33B6-4463A2F49FF2}"/>
                </a:ext>
              </a:extLst>
            </xdr:cNvPr>
            <xdr:cNvPicPr/>
          </xdr:nvPicPr>
          <xdr:blipFill>
            <a:blip xmlns:r="http://schemas.openxmlformats.org/officeDocument/2006/relationships" r:embed="rId942"/>
            <a:stretch>
              <a:fillRect/>
            </a:stretch>
          </xdr:blipFill>
          <xdr:spPr>
            <a:xfrm>
              <a:off x="10499040" y="4955400"/>
              <a:ext cx="6696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359069</xdr:colOff>
      <xdr:row>37</xdr:row>
      <xdr:rowOff>21288</xdr:rowOff>
    </xdr:from>
    <xdr:to>
      <xdr:col>15</xdr:col>
      <xdr:colOff>411989</xdr:colOff>
      <xdr:row>37</xdr:row>
      <xdr:rowOff>31368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3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22AC223B-2BFE-8389-983D-15754D44A294}"/>
                </a:ext>
                <a:ext uri="{147F2762-F138-4A5C-976F-8EAC2B608ADB}">
                  <a16:predDERef xmlns:a16="http://schemas.microsoft.com/office/drawing/2014/main" pred="{D26E1D5B-CDD9-BED0-FAAD-7BFD605EEBD0}"/>
                </a:ext>
              </a:extLst>
            </xdr14:cNvPr>
            <xdr14:cNvContentPartPr/>
          </xdr14:nvContentPartPr>
          <xdr14:nvPr macro=""/>
          <xdr14:xfrm>
            <a:off x="11338424" y="7805159"/>
            <a:ext cx="52920" cy="1008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22AC223B-2BFE-8389-983D-15754D44A294}"/>
                </a:ext>
                <a:ext uri="{147F2762-F138-4A5C-976F-8EAC2B608ADB}">
                  <a16:predDERef xmlns:a16="http://schemas.microsoft.com/office/drawing/2014/main" pred="{D26E1D5B-CDD9-BED0-FAAD-7BFD605EEBD0}"/>
                </a:ext>
              </a:extLst>
            </xdr:cNvPr>
            <xdr:cNvPicPr/>
          </xdr:nvPicPr>
          <xdr:blipFill>
            <a:blip xmlns:r="http://schemas.openxmlformats.org/officeDocument/2006/relationships" r:embed="rId944"/>
            <a:stretch>
              <a:fillRect/>
            </a:stretch>
          </xdr:blipFill>
          <xdr:spPr>
            <a:xfrm>
              <a:off x="10496520" y="4995000"/>
              <a:ext cx="74160" cy="3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584429</xdr:colOff>
      <xdr:row>36</xdr:row>
      <xdr:rowOff>79067</xdr:rowOff>
    </xdr:from>
    <xdr:to>
      <xdr:col>16</xdr:col>
      <xdr:colOff>19341</xdr:colOff>
      <xdr:row>37</xdr:row>
      <xdr:rowOff>43248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5">
          <xdr14:nvContentPartPr>
            <xdr14:cNvPr id="489" name="Ink 488">
              <a:extLst>
                <a:ext uri="{FF2B5EF4-FFF2-40B4-BE49-F238E27FC236}">
                  <a16:creationId xmlns:a16="http://schemas.microsoft.com/office/drawing/2014/main" id="{2DB2D91F-46CB-77C4-2A8A-D830AA69AEAA}"/>
                </a:ext>
                <a:ext uri="{147F2762-F138-4A5C-976F-8EAC2B608ADB}">
                  <a16:predDERef xmlns:a16="http://schemas.microsoft.com/office/drawing/2014/main" pred="{22AC223B-2BFE-8389-983D-15754D44A294}"/>
                </a:ext>
              </a:extLst>
            </xdr14:cNvPr>
            <xdr14:cNvContentPartPr/>
          </xdr14:nvContentPartPr>
          <xdr14:nvPr macro=""/>
          <xdr14:xfrm>
            <a:off x="11563784" y="7658099"/>
            <a:ext cx="131363" cy="169020"/>
          </xdr14:xfrm>
        </xdr:contentPart>
      </mc:Choice>
      <mc:Fallback xmlns="">
        <xdr:pic>
          <xdr:nvPicPr>
            <xdr:cNvPr id="489" name="Ink 488">
              <a:extLst>
                <a:ext uri="{FF2B5EF4-FFF2-40B4-BE49-F238E27FC236}">
                  <a16:creationId xmlns:a16="http://schemas.microsoft.com/office/drawing/2014/main" id="{2DB2D91F-46CB-77C4-2A8A-D830AA69AEAA}"/>
                </a:ext>
                <a:ext uri="{147F2762-F138-4A5C-976F-8EAC2B608ADB}">
                  <a16:predDERef xmlns:a16="http://schemas.microsoft.com/office/drawing/2014/main" pred="{22AC223B-2BFE-8389-983D-15754D44A294}"/>
                </a:ext>
              </a:extLst>
            </xdr:cNvPr>
            <xdr:cNvPicPr/>
          </xdr:nvPicPr>
          <xdr:blipFill>
            <a:blip xmlns:r="http://schemas.openxmlformats.org/officeDocument/2006/relationships" r:embed="rId946"/>
            <a:stretch>
              <a:fillRect/>
            </a:stretch>
          </xdr:blipFill>
          <xdr:spPr>
            <a:xfrm>
              <a:off x="10721880" y="4860720"/>
              <a:ext cx="1116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40408</xdr:colOff>
      <xdr:row>36</xdr:row>
      <xdr:rowOff>112547</xdr:rowOff>
    </xdr:from>
    <xdr:to>
      <xdr:col>16</xdr:col>
      <xdr:colOff>83968</xdr:colOff>
      <xdr:row>37</xdr:row>
      <xdr:rowOff>19488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7">
          <xdr14:nvContentPartPr>
            <xdr14:cNvPr id="490" name="Ink 489">
              <a:extLst>
                <a:ext uri="{FF2B5EF4-FFF2-40B4-BE49-F238E27FC236}">
                  <a16:creationId xmlns:a16="http://schemas.microsoft.com/office/drawing/2014/main" id="{1E852B5B-134C-1050-543A-940DDE6FBE66}"/>
                </a:ext>
                <a:ext uri="{147F2762-F138-4A5C-976F-8EAC2B608ADB}">
                  <a16:predDERef xmlns:a16="http://schemas.microsoft.com/office/drawing/2014/main" pred="{2DB2D91F-46CB-77C4-2A8A-D830AA69AEAA}"/>
                </a:ext>
              </a:extLst>
            </xdr14:cNvPr>
            <xdr14:cNvContentPartPr/>
          </xdr14:nvContentPartPr>
          <xdr14:nvPr macro=""/>
          <xdr14:xfrm>
            <a:off x="11716214" y="7691579"/>
            <a:ext cx="43560" cy="111780"/>
          </xdr14:xfrm>
        </xdr:contentPart>
      </mc:Choice>
      <mc:Fallback xmlns="">
        <xdr:pic>
          <xdr:nvPicPr>
            <xdr:cNvPr id="490" name="Ink 489">
              <a:extLst>
                <a:ext uri="{FF2B5EF4-FFF2-40B4-BE49-F238E27FC236}">
                  <a16:creationId xmlns:a16="http://schemas.microsoft.com/office/drawing/2014/main" id="{1E852B5B-134C-1050-543A-940DDE6FBE66}"/>
                </a:ext>
                <a:ext uri="{147F2762-F138-4A5C-976F-8EAC2B608ADB}">
                  <a16:predDERef xmlns:a16="http://schemas.microsoft.com/office/drawing/2014/main" pred="{2DB2D91F-46CB-77C4-2A8A-D830AA69AEAA}"/>
                </a:ext>
              </a:extLst>
            </xdr:cNvPr>
            <xdr:cNvPicPr/>
          </xdr:nvPicPr>
          <xdr:blipFill>
            <a:blip xmlns:r="http://schemas.openxmlformats.org/officeDocument/2006/relationships" r:embed="rId948"/>
            <a:stretch>
              <a:fillRect/>
            </a:stretch>
          </xdr:blipFill>
          <xdr:spPr>
            <a:xfrm>
              <a:off x="10824840" y="4894200"/>
              <a:ext cx="6480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107368</xdr:colOff>
      <xdr:row>36</xdr:row>
      <xdr:rowOff>138827</xdr:rowOff>
    </xdr:from>
    <xdr:to>
      <xdr:col>16</xdr:col>
      <xdr:colOff>263608</xdr:colOff>
      <xdr:row>37</xdr:row>
      <xdr:rowOff>79248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9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DF4CF07A-2BBF-C623-5B56-0A4C8E47BDD7}"/>
                </a:ext>
                <a:ext uri="{147F2762-F138-4A5C-976F-8EAC2B608ADB}">
                  <a16:predDERef xmlns:a16="http://schemas.microsoft.com/office/drawing/2014/main" pred="{1E852B5B-134C-1050-543A-940DDE6FBE66}"/>
                </a:ext>
              </a:extLst>
            </xdr14:cNvPr>
            <xdr14:cNvContentPartPr/>
          </xdr14:nvContentPartPr>
          <xdr14:nvPr macro=""/>
          <xdr14:xfrm>
            <a:off x="11783174" y="7717859"/>
            <a:ext cx="156240" cy="1452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DF4CF07A-2BBF-C623-5B56-0A4C8E47BDD7}"/>
                </a:ext>
                <a:ext uri="{147F2762-F138-4A5C-976F-8EAC2B608ADB}">
                  <a16:predDERef xmlns:a16="http://schemas.microsoft.com/office/drawing/2014/main" pred="{1E852B5B-134C-1050-543A-940DDE6FBE66}"/>
                </a:ext>
              </a:extLst>
            </xdr:cNvPr>
            <xdr:cNvPicPr/>
          </xdr:nvPicPr>
          <xdr:blipFill>
            <a:blip xmlns:r="http://schemas.openxmlformats.org/officeDocument/2006/relationships" r:embed="rId950"/>
            <a:stretch>
              <a:fillRect/>
            </a:stretch>
          </xdr:blipFill>
          <xdr:spPr>
            <a:xfrm>
              <a:off x="10892160" y="4920480"/>
              <a:ext cx="17748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351808</xdr:colOff>
      <xdr:row>35</xdr:row>
      <xdr:rowOff>177164</xdr:rowOff>
    </xdr:from>
    <xdr:to>
      <xdr:col>16</xdr:col>
      <xdr:colOff>424168</xdr:colOff>
      <xdr:row>37</xdr:row>
      <xdr:rowOff>131088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1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128C0518-2DA1-432B-BFF2-3A9431A6C3AA}"/>
                </a:ext>
                <a:ext uri="{147F2762-F138-4A5C-976F-8EAC2B608ADB}">
                  <a16:predDERef xmlns:a16="http://schemas.microsoft.com/office/drawing/2014/main" pred="{DF4CF07A-2BBF-C623-5B56-0A4C8E47BDD7}"/>
                </a:ext>
              </a:extLst>
            </xdr14:cNvPr>
            <xdr14:cNvContentPartPr/>
          </xdr14:nvContentPartPr>
          <xdr14:nvPr macro=""/>
          <xdr14:xfrm>
            <a:off x="12027614" y="7551358"/>
            <a:ext cx="72360" cy="363601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128C0518-2DA1-432B-BFF2-3A9431A6C3AA}"/>
                </a:ext>
                <a:ext uri="{147F2762-F138-4A5C-976F-8EAC2B608ADB}">
                  <a16:predDERef xmlns:a16="http://schemas.microsoft.com/office/drawing/2014/main" pred="{DF4CF07A-2BBF-C623-5B56-0A4C8E47BDD7}"/>
                </a:ext>
              </a:extLst>
            </xdr:cNvPr>
            <xdr:cNvPicPr/>
          </xdr:nvPicPr>
          <xdr:blipFill>
            <a:blip xmlns:r="http://schemas.openxmlformats.org/officeDocument/2006/relationships" r:embed="rId952"/>
            <a:stretch>
              <a:fillRect/>
            </a:stretch>
          </xdr:blipFill>
          <xdr:spPr>
            <a:xfrm>
              <a:off x="11136600" y="4767120"/>
              <a:ext cx="93600" cy="35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490768</xdr:colOff>
      <xdr:row>36</xdr:row>
      <xdr:rowOff>11747</xdr:rowOff>
    </xdr:from>
    <xdr:to>
      <xdr:col>16</xdr:col>
      <xdr:colOff>498328</xdr:colOff>
      <xdr:row>36</xdr:row>
      <xdr:rowOff>122267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3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AA020B03-359C-1F77-2AD0-C3D13C4614A7}"/>
                </a:ext>
                <a:ext uri="{147F2762-F138-4A5C-976F-8EAC2B608ADB}">
                  <a16:predDERef xmlns:a16="http://schemas.microsoft.com/office/drawing/2014/main" pred="{128C0518-2DA1-432B-BFF2-3A9431A6C3AA}"/>
                </a:ext>
              </a:extLst>
            </xdr14:cNvPr>
            <xdr14:cNvContentPartPr/>
          </xdr14:nvContentPartPr>
          <xdr14:nvPr macro=""/>
          <xdr14:xfrm>
            <a:off x="12166574" y="7590779"/>
            <a:ext cx="7560" cy="110520"/>
          </xdr14:xfrm>
        </xdr:contentPart>
      </mc:Choice>
      <mc:Fallback xmlns=""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AA020B03-359C-1F77-2AD0-C3D13C4614A7}"/>
                </a:ext>
                <a:ext uri="{147F2762-F138-4A5C-976F-8EAC2B608ADB}">
                  <a16:predDERef xmlns:a16="http://schemas.microsoft.com/office/drawing/2014/main" pred="{128C0518-2DA1-432B-BFF2-3A9431A6C3AA}"/>
                </a:ext>
              </a:extLst>
            </xdr:cNvPr>
            <xdr:cNvPicPr/>
          </xdr:nvPicPr>
          <xdr:blipFill>
            <a:blip xmlns:r="http://schemas.openxmlformats.org/officeDocument/2006/relationships" r:embed="rId954"/>
            <a:stretch>
              <a:fillRect/>
            </a:stretch>
          </xdr:blipFill>
          <xdr:spPr>
            <a:xfrm>
              <a:off x="11275560" y="4793760"/>
              <a:ext cx="288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567448</xdr:colOff>
      <xdr:row>35</xdr:row>
      <xdr:rowOff>167444</xdr:rowOff>
    </xdr:from>
    <xdr:to>
      <xdr:col>16</xdr:col>
      <xdr:colOff>614897</xdr:colOff>
      <xdr:row>36</xdr:row>
      <xdr:rowOff>136667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5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FC2430DA-66A1-8397-FB59-2DF05F39FB3B}"/>
                </a:ext>
                <a:ext uri="{147F2762-F138-4A5C-976F-8EAC2B608ADB}">
                  <a16:predDERef xmlns:a16="http://schemas.microsoft.com/office/drawing/2014/main" pred="{AA020B03-359C-1F77-2AD0-C3D13C4614A7}"/>
                </a:ext>
              </a:extLst>
            </xdr14:cNvPr>
            <xdr14:cNvContentPartPr/>
          </xdr14:nvContentPartPr>
          <xdr14:nvPr macro=""/>
          <xdr14:xfrm>
            <a:off x="12243254" y="7541638"/>
            <a:ext cx="95074" cy="174061"/>
          </xdr14:xfrm>
        </xdr:contentPart>
      </mc:Choice>
      <mc:Fallback xmlns=""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FC2430DA-66A1-8397-FB59-2DF05F39FB3B}"/>
                </a:ext>
                <a:ext uri="{147F2762-F138-4A5C-976F-8EAC2B608ADB}">
                  <a16:predDERef xmlns:a16="http://schemas.microsoft.com/office/drawing/2014/main" pred="{AA020B03-359C-1F77-2AD0-C3D13C4614A7}"/>
                </a:ext>
              </a:extLst>
            </xdr:cNvPr>
            <xdr:cNvPicPr/>
          </xdr:nvPicPr>
          <xdr:blipFill>
            <a:blip xmlns:r="http://schemas.openxmlformats.org/officeDocument/2006/relationships" r:embed="rId956"/>
            <a:stretch>
              <a:fillRect/>
            </a:stretch>
          </xdr:blipFill>
          <xdr:spPr>
            <a:xfrm>
              <a:off x="11352240" y="4757760"/>
              <a:ext cx="6480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11547</xdr:colOff>
      <xdr:row>36</xdr:row>
      <xdr:rowOff>4547</xdr:rowOff>
    </xdr:from>
    <xdr:to>
      <xdr:col>17</xdr:col>
      <xdr:colOff>88587</xdr:colOff>
      <xdr:row>36</xdr:row>
      <xdr:rowOff>119747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7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CC25E0B8-17BE-3D1D-FC02-64E250D547BD}"/>
                </a:ext>
                <a:ext uri="{147F2762-F138-4A5C-976F-8EAC2B608ADB}">
                  <a16:predDERef xmlns:a16="http://schemas.microsoft.com/office/drawing/2014/main" pred="{FC2430DA-66A1-8397-FB59-2DF05F39FB3B}"/>
                </a:ext>
              </a:extLst>
            </xdr14:cNvPr>
            <xdr14:cNvContentPartPr/>
          </xdr14:nvContentPartPr>
          <xdr14:nvPr macro=""/>
          <xdr14:xfrm>
            <a:off x="12383805" y="7583579"/>
            <a:ext cx="77040" cy="11520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CC25E0B8-17BE-3D1D-FC02-64E250D547BD}"/>
                </a:ext>
                <a:ext uri="{147F2762-F138-4A5C-976F-8EAC2B608ADB}">
                  <a16:predDERef xmlns:a16="http://schemas.microsoft.com/office/drawing/2014/main" pred="{FC2430DA-66A1-8397-FB59-2DF05F39FB3B}"/>
                </a:ext>
              </a:extLst>
            </xdr:cNvPr>
            <xdr:cNvPicPr/>
          </xdr:nvPicPr>
          <xdr:blipFill>
            <a:blip xmlns:r="http://schemas.openxmlformats.org/officeDocument/2006/relationships" r:embed="rId958"/>
            <a:stretch>
              <a:fillRect/>
            </a:stretch>
          </xdr:blipFill>
          <xdr:spPr>
            <a:xfrm>
              <a:off x="11443320" y="4786560"/>
              <a:ext cx="982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95427</xdr:colOff>
      <xdr:row>36</xdr:row>
      <xdr:rowOff>50267</xdr:rowOff>
    </xdr:from>
    <xdr:to>
      <xdr:col>17</xdr:col>
      <xdr:colOff>165987</xdr:colOff>
      <xdr:row>36</xdr:row>
      <xdr:rowOff>55307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9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FAD6B69B-9D93-40AE-1F5B-09BB92B9894A}"/>
                </a:ext>
                <a:ext uri="{147F2762-F138-4A5C-976F-8EAC2B608ADB}">
                  <a16:predDERef xmlns:a16="http://schemas.microsoft.com/office/drawing/2014/main" pred="{CC25E0B8-17BE-3D1D-FC02-64E250D547BD}"/>
                </a:ext>
              </a:extLst>
            </xdr14:cNvPr>
            <xdr14:cNvContentPartPr/>
          </xdr14:nvContentPartPr>
          <xdr14:nvPr macro=""/>
          <xdr14:xfrm>
            <a:off x="12467685" y="7629299"/>
            <a:ext cx="70560" cy="504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FAD6B69B-9D93-40AE-1F5B-09BB92B9894A}"/>
                </a:ext>
                <a:ext uri="{147F2762-F138-4A5C-976F-8EAC2B608ADB}">
                  <a16:predDERef xmlns:a16="http://schemas.microsoft.com/office/drawing/2014/main" pred="{CC25E0B8-17BE-3D1D-FC02-64E250D547BD}"/>
                </a:ext>
              </a:extLst>
            </xdr:cNvPr>
            <xdr:cNvPicPr/>
          </xdr:nvPicPr>
          <xdr:blipFill>
            <a:blip xmlns:r="http://schemas.openxmlformats.org/officeDocument/2006/relationships" r:embed="rId960"/>
            <a:stretch>
              <a:fillRect/>
            </a:stretch>
          </xdr:blipFill>
          <xdr:spPr>
            <a:xfrm>
              <a:off x="11527200" y="4831920"/>
              <a:ext cx="9180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138627</xdr:colOff>
      <xdr:row>36</xdr:row>
      <xdr:rowOff>26147</xdr:rowOff>
    </xdr:from>
    <xdr:to>
      <xdr:col>17</xdr:col>
      <xdr:colOff>155907</xdr:colOff>
      <xdr:row>36</xdr:row>
      <xdr:rowOff>105707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1">
          <xdr14:nvContentPartPr>
            <xdr14:cNvPr id="497" name="Ink 496">
              <a:extLst>
                <a:ext uri="{FF2B5EF4-FFF2-40B4-BE49-F238E27FC236}">
                  <a16:creationId xmlns:a16="http://schemas.microsoft.com/office/drawing/2014/main" id="{EEDCD426-ADDB-50F9-3DED-8ADEA59414F0}"/>
                </a:ext>
                <a:ext uri="{147F2762-F138-4A5C-976F-8EAC2B608ADB}">
                  <a16:predDERef xmlns:a16="http://schemas.microsoft.com/office/drawing/2014/main" pred="{FAD6B69B-9D93-40AE-1F5B-09BB92B9894A}"/>
                </a:ext>
              </a:extLst>
            </xdr14:cNvPr>
            <xdr14:cNvContentPartPr/>
          </xdr14:nvContentPartPr>
          <xdr14:nvPr macro=""/>
          <xdr14:xfrm>
            <a:off x="12510885" y="7605179"/>
            <a:ext cx="17280" cy="79560"/>
          </xdr14:xfrm>
        </xdr:contentPart>
      </mc:Choice>
      <mc:Fallback xmlns="">
        <xdr:pic>
          <xdr:nvPicPr>
            <xdr:cNvPr id="497" name="Ink 496">
              <a:extLst>
                <a:ext uri="{FF2B5EF4-FFF2-40B4-BE49-F238E27FC236}">
                  <a16:creationId xmlns:a16="http://schemas.microsoft.com/office/drawing/2014/main" id="{EEDCD426-ADDB-50F9-3DED-8ADEA59414F0}"/>
                </a:ext>
                <a:ext uri="{147F2762-F138-4A5C-976F-8EAC2B608ADB}">
                  <a16:predDERef xmlns:a16="http://schemas.microsoft.com/office/drawing/2014/main" pred="{FAD6B69B-9D93-40AE-1F5B-09BB92B9894A}"/>
                </a:ext>
              </a:extLst>
            </xdr:cNvPr>
            <xdr:cNvPicPr/>
          </xdr:nvPicPr>
          <xdr:blipFill>
            <a:blip xmlns:r="http://schemas.openxmlformats.org/officeDocument/2006/relationships" r:embed="rId962"/>
            <a:stretch>
              <a:fillRect/>
            </a:stretch>
          </xdr:blipFill>
          <xdr:spPr>
            <a:xfrm>
              <a:off x="11570040" y="4808160"/>
              <a:ext cx="3852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193707</xdr:colOff>
      <xdr:row>35</xdr:row>
      <xdr:rowOff>181844</xdr:rowOff>
    </xdr:from>
    <xdr:to>
      <xdr:col>17</xdr:col>
      <xdr:colOff>277947</xdr:colOff>
      <xdr:row>36</xdr:row>
      <xdr:rowOff>122267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3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9F07AD32-D984-F5E6-585C-2B33DB7C739C}"/>
                </a:ext>
                <a:ext uri="{147F2762-F138-4A5C-976F-8EAC2B608ADB}">
                  <a16:predDERef xmlns:a16="http://schemas.microsoft.com/office/drawing/2014/main" pred="{EEDCD426-ADDB-50F9-3DED-8ADEA59414F0}"/>
                </a:ext>
              </a:extLst>
            </xdr14:cNvPr>
            <xdr14:cNvContentPartPr/>
          </xdr14:nvContentPartPr>
          <xdr14:nvPr macro=""/>
          <xdr14:xfrm>
            <a:off x="12565965" y="7556038"/>
            <a:ext cx="84240" cy="145261"/>
          </xdr14:xfrm>
        </xdr:contentPart>
      </mc:Choice>
      <mc:Fallback xmlns="">
        <xdr:pic>
          <xdr:nvPicPr>
            <xdr:cNvPr id="498" name="Ink 497">
              <a:extLst>
                <a:ext uri="{FF2B5EF4-FFF2-40B4-BE49-F238E27FC236}">
                  <a16:creationId xmlns:a16="http://schemas.microsoft.com/office/drawing/2014/main" id="{9F07AD32-D984-F5E6-585C-2B33DB7C739C}"/>
                </a:ext>
                <a:ext uri="{147F2762-F138-4A5C-976F-8EAC2B608ADB}">
                  <a16:predDERef xmlns:a16="http://schemas.microsoft.com/office/drawing/2014/main" pred="{EEDCD426-ADDB-50F9-3DED-8ADEA59414F0}"/>
                </a:ext>
              </a:extLst>
            </xdr:cNvPr>
            <xdr:cNvPicPr/>
          </xdr:nvPicPr>
          <xdr:blipFill>
            <a:blip xmlns:r="http://schemas.openxmlformats.org/officeDocument/2006/relationships" r:embed="rId964"/>
            <a:stretch>
              <a:fillRect/>
            </a:stretch>
          </xdr:blipFill>
          <xdr:spPr>
            <a:xfrm>
              <a:off x="11625120" y="4772160"/>
              <a:ext cx="10548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294147</xdr:colOff>
      <xdr:row>36</xdr:row>
      <xdr:rowOff>54947</xdr:rowOff>
    </xdr:from>
    <xdr:to>
      <xdr:col>17</xdr:col>
      <xdr:colOff>333027</xdr:colOff>
      <xdr:row>36</xdr:row>
      <xdr:rowOff>158267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5">
          <xdr14:nvContentPartPr>
            <xdr14:cNvPr id="499" name="Ink 498">
              <a:extLst>
                <a:ext uri="{FF2B5EF4-FFF2-40B4-BE49-F238E27FC236}">
                  <a16:creationId xmlns:a16="http://schemas.microsoft.com/office/drawing/2014/main" id="{78798DDF-262E-BEAE-A8D4-A6577BA7AE38}"/>
                </a:ext>
                <a:ext uri="{147F2762-F138-4A5C-976F-8EAC2B608ADB}">
                  <a16:predDERef xmlns:a16="http://schemas.microsoft.com/office/drawing/2014/main" pred="{9F07AD32-D984-F5E6-585C-2B33DB7C739C}"/>
                </a:ext>
              </a:extLst>
            </xdr14:cNvPr>
            <xdr14:cNvContentPartPr/>
          </xdr14:nvContentPartPr>
          <xdr14:nvPr macro=""/>
          <xdr14:xfrm>
            <a:off x="12666405" y="7633979"/>
            <a:ext cx="38880" cy="103320"/>
          </xdr14:xfrm>
        </xdr:contentPart>
      </mc:Choice>
      <mc:Fallback xmlns="">
        <xdr:pic>
          <xdr:nvPicPr>
            <xdr:cNvPr id="499" name="Ink 498">
              <a:extLst>
                <a:ext uri="{FF2B5EF4-FFF2-40B4-BE49-F238E27FC236}">
                  <a16:creationId xmlns:a16="http://schemas.microsoft.com/office/drawing/2014/main" id="{78798DDF-262E-BEAE-A8D4-A6577BA7AE38}"/>
                </a:ext>
                <a:ext uri="{147F2762-F138-4A5C-976F-8EAC2B608ADB}">
                  <a16:predDERef xmlns:a16="http://schemas.microsoft.com/office/drawing/2014/main" pred="{9F07AD32-D984-F5E6-585C-2B33DB7C739C}"/>
                </a:ext>
              </a:extLst>
            </xdr:cNvPr>
            <xdr:cNvPicPr/>
          </xdr:nvPicPr>
          <xdr:blipFill>
            <a:blip xmlns:r="http://schemas.openxmlformats.org/officeDocument/2006/relationships" r:embed="rId966"/>
            <a:stretch>
              <a:fillRect/>
            </a:stretch>
          </xdr:blipFill>
          <xdr:spPr>
            <a:xfrm>
              <a:off x="11725920" y="4836600"/>
              <a:ext cx="60120" cy="12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387747</xdr:colOff>
      <xdr:row>35</xdr:row>
      <xdr:rowOff>174644</xdr:rowOff>
    </xdr:from>
    <xdr:to>
      <xdr:col>17</xdr:col>
      <xdr:colOff>433467</xdr:colOff>
      <xdr:row>36</xdr:row>
      <xdr:rowOff>146027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7">
          <xdr14:nvContentPartPr>
            <xdr14:cNvPr id="500" name="Ink 499">
              <a:extLst>
                <a:ext uri="{FF2B5EF4-FFF2-40B4-BE49-F238E27FC236}">
                  <a16:creationId xmlns:a16="http://schemas.microsoft.com/office/drawing/2014/main" id="{EB361175-741E-80E3-2232-95095629659B}"/>
                </a:ext>
                <a:ext uri="{147F2762-F138-4A5C-976F-8EAC2B608ADB}">
                  <a16:predDERef xmlns:a16="http://schemas.microsoft.com/office/drawing/2014/main" pred="{78798DDF-262E-BEAE-A8D4-A6577BA7AE38}"/>
                </a:ext>
              </a:extLst>
            </xdr14:cNvPr>
            <xdr14:cNvContentPartPr/>
          </xdr14:nvContentPartPr>
          <xdr14:nvPr macro=""/>
          <xdr14:xfrm>
            <a:off x="12760005" y="7548838"/>
            <a:ext cx="45720" cy="176221"/>
          </xdr14:xfrm>
        </xdr:contentPart>
      </mc:Choice>
      <mc:Fallback xmlns="">
        <xdr:pic>
          <xdr:nvPicPr>
            <xdr:cNvPr id="500" name="Ink 499">
              <a:extLst>
                <a:ext uri="{FF2B5EF4-FFF2-40B4-BE49-F238E27FC236}">
                  <a16:creationId xmlns:a16="http://schemas.microsoft.com/office/drawing/2014/main" id="{EB361175-741E-80E3-2232-95095629659B}"/>
                </a:ext>
                <a:ext uri="{147F2762-F138-4A5C-976F-8EAC2B608ADB}">
                  <a16:predDERef xmlns:a16="http://schemas.microsoft.com/office/drawing/2014/main" pred="{78798DDF-262E-BEAE-A8D4-A6577BA7AE38}"/>
                </a:ext>
              </a:extLst>
            </xdr:cNvPr>
            <xdr:cNvPicPr/>
          </xdr:nvPicPr>
          <xdr:blipFill>
            <a:blip xmlns:r="http://schemas.openxmlformats.org/officeDocument/2006/relationships" r:embed="rId968"/>
            <a:stretch>
              <a:fillRect/>
            </a:stretch>
          </xdr:blipFill>
          <xdr:spPr>
            <a:xfrm>
              <a:off x="11819520" y="4764960"/>
              <a:ext cx="669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493227</xdr:colOff>
      <xdr:row>36</xdr:row>
      <xdr:rowOff>54947</xdr:rowOff>
    </xdr:from>
    <xdr:to>
      <xdr:col>17</xdr:col>
      <xdr:colOff>546147</xdr:colOff>
      <xdr:row>36</xdr:row>
      <xdr:rowOff>57827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9">
          <xdr14:nvContentPartPr>
            <xdr14:cNvPr id="501" name="Ink 500">
              <a:extLst>
                <a:ext uri="{FF2B5EF4-FFF2-40B4-BE49-F238E27FC236}">
                  <a16:creationId xmlns:a16="http://schemas.microsoft.com/office/drawing/2014/main" id="{BB353A28-5A1A-A036-577F-EBEA68A477AC}"/>
                </a:ext>
                <a:ext uri="{147F2762-F138-4A5C-976F-8EAC2B608ADB}">
                  <a16:predDERef xmlns:a16="http://schemas.microsoft.com/office/drawing/2014/main" pred="{EB361175-741E-80E3-2232-95095629659B}"/>
                </a:ext>
              </a:extLst>
            </xdr14:cNvPr>
            <xdr14:cNvContentPartPr/>
          </xdr14:nvContentPartPr>
          <xdr14:nvPr macro=""/>
          <xdr14:xfrm>
            <a:off x="12865485" y="7633979"/>
            <a:ext cx="52920" cy="2880"/>
          </xdr14:xfrm>
        </xdr:contentPart>
      </mc:Choice>
      <mc:Fallback xmlns="">
        <xdr:pic>
          <xdr:nvPicPr>
            <xdr:cNvPr id="501" name="Ink 500">
              <a:extLst>
                <a:ext uri="{FF2B5EF4-FFF2-40B4-BE49-F238E27FC236}">
                  <a16:creationId xmlns:a16="http://schemas.microsoft.com/office/drawing/2014/main" id="{BB353A28-5A1A-A036-577F-EBEA68A477AC}"/>
                </a:ext>
                <a:ext uri="{147F2762-F138-4A5C-976F-8EAC2B608ADB}">
                  <a16:predDERef xmlns:a16="http://schemas.microsoft.com/office/drawing/2014/main" pred="{EB361175-741E-80E3-2232-95095629659B}"/>
                </a:ext>
              </a:extLst>
            </xdr:cNvPr>
            <xdr:cNvPicPr/>
          </xdr:nvPicPr>
          <xdr:blipFill>
            <a:blip xmlns:r="http://schemas.openxmlformats.org/officeDocument/2006/relationships" r:embed="rId970"/>
            <a:stretch>
              <a:fillRect/>
            </a:stretch>
          </xdr:blipFill>
          <xdr:spPr>
            <a:xfrm>
              <a:off x="11924640" y="4836600"/>
              <a:ext cx="7416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688858</xdr:colOff>
      <xdr:row>35</xdr:row>
      <xdr:rowOff>174644</xdr:rowOff>
    </xdr:from>
    <xdr:to>
      <xdr:col>18</xdr:col>
      <xdr:colOff>8088</xdr:colOff>
      <xdr:row>36</xdr:row>
      <xdr:rowOff>105347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1">
          <xdr14:nvContentPartPr>
            <xdr14:cNvPr id="503" name="Ink 502">
              <a:extLst>
                <a:ext uri="{FF2B5EF4-FFF2-40B4-BE49-F238E27FC236}">
                  <a16:creationId xmlns:a16="http://schemas.microsoft.com/office/drawing/2014/main" id="{CB8E9381-E7C7-688C-9CB4-8FBA355BAF71}"/>
                </a:ext>
                <a:ext uri="{147F2762-F138-4A5C-976F-8EAC2B608ADB}">
                  <a16:predDERef xmlns:a16="http://schemas.microsoft.com/office/drawing/2014/main" pred="{BB353A28-5A1A-A036-577F-EBEA68A477AC}"/>
                </a:ext>
              </a:extLst>
            </xdr14:cNvPr>
            <xdr14:cNvContentPartPr/>
          </xdr14:nvContentPartPr>
          <xdr14:nvPr macro=""/>
          <xdr14:xfrm>
            <a:off x="13061116" y="7548838"/>
            <a:ext cx="10080" cy="135541"/>
          </xdr14:xfrm>
        </xdr:contentPart>
      </mc:Choice>
      <mc:Fallback xmlns="">
        <xdr:pic>
          <xdr:nvPicPr>
            <xdr:cNvPr id="503" name="Ink 502">
              <a:extLst>
                <a:ext uri="{FF2B5EF4-FFF2-40B4-BE49-F238E27FC236}">
                  <a16:creationId xmlns:a16="http://schemas.microsoft.com/office/drawing/2014/main" id="{CB8E9381-E7C7-688C-9CB4-8FBA355BAF71}"/>
                </a:ext>
                <a:ext uri="{147F2762-F138-4A5C-976F-8EAC2B608ADB}">
                  <a16:predDERef xmlns:a16="http://schemas.microsoft.com/office/drawing/2014/main" pred="{BB353A28-5A1A-A036-577F-EBEA68A477AC}"/>
                </a:ext>
              </a:extLst>
            </xdr:cNvPr>
            <xdr:cNvPicPr/>
          </xdr:nvPicPr>
          <xdr:blipFill>
            <a:blip xmlns:r="http://schemas.openxmlformats.org/officeDocument/2006/relationships" r:embed="rId972"/>
            <a:stretch>
              <a:fillRect/>
            </a:stretch>
          </xdr:blipFill>
          <xdr:spPr>
            <a:xfrm>
              <a:off x="12070800" y="4764960"/>
              <a:ext cx="3132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88166</xdr:colOff>
      <xdr:row>35</xdr:row>
      <xdr:rowOff>160604</xdr:rowOff>
    </xdr:from>
    <xdr:to>
      <xdr:col>18</xdr:col>
      <xdr:colOff>129206</xdr:colOff>
      <xdr:row>36</xdr:row>
      <xdr:rowOff>112907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3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6196395B-9AF1-E38C-48EE-4A1656489510}"/>
                </a:ext>
                <a:ext uri="{147F2762-F138-4A5C-976F-8EAC2B608ADB}">
                  <a16:predDERef xmlns:a16="http://schemas.microsoft.com/office/drawing/2014/main" pred="{CB8E9381-E7C7-688C-9CB4-8FBA355BAF71}"/>
                </a:ext>
              </a:extLst>
            </xdr14:cNvPr>
            <xdr14:cNvContentPartPr/>
          </xdr14:nvContentPartPr>
          <xdr14:nvPr macro=""/>
          <xdr14:xfrm>
            <a:off x="13156876" y="7534798"/>
            <a:ext cx="41040" cy="157141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6196395B-9AF1-E38C-48EE-4A1656489510}"/>
                </a:ext>
                <a:ext uri="{147F2762-F138-4A5C-976F-8EAC2B608ADB}">
                  <a16:predDERef xmlns:a16="http://schemas.microsoft.com/office/drawing/2014/main" pred="{CB8E9381-E7C7-688C-9CB4-8FBA355BAF71}"/>
                </a:ext>
              </a:extLst>
            </xdr:cNvPr>
            <xdr:cNvPicPr/>
          </xdr:nvPicPr>
          <xdr:blipFill>
            <a:blip xmlns:r="http://schemas.openxmlformats.org/officeDocument/2006/relationships" r:embed="rId974"/>
            <a:stretch>
              <a:fillRect/>
            </a:stretch>
          </xdr:blipFill>
          <xdr:spPr>
            <a:xfrm>
              <a:off x="12166920" y="4750920"/>
              <a:ext cx="622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169886</xdr:colOff>
      <xdr:row>35</xdr:row>
      <xdr:rowOff>155924</xdr:rowOff>
    </xdr:from>
    <xdr:to>
      <xdr:col>18</xdr:col>
      <xdr:colOff>244406</xdr:colOff>
      <xdr:row>36</xdr:row>
      <xdr:rowOff>100667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5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052B30E0-96AC-8DAF-0E4B-ECEBD87AF049}"/>
                </a:ext>
                <a:ext uri="{147F2762-F138-4A5C-976F-8EAC2B608ADB}">
                  <a16:predDERef xmlns:a16="http://schemas.microsoft.com/office/drawing/2014/main" pred="{6196395B-9AF1-E38C-48EE-4A1656489510}"/>
                </a:ext>
              </a:extLst>
            </xdr14:cNvPr>
            <xdr14:cNvContentPartPr/>
          </xdr14:nvContentPartPr>
          <xdr14:nvPr macro=""/>
          <xdr14:xfrm>
            <a:off x="13238596" y="7530118"/>
            <a:ext cx="74520" cy="149581"/>
          </xdr14:xfrm>
        </xdr:contentPart>
      </mc:Choice>
      <mc:Fallback xmlns=""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052B30E0-96AC-8DAF-0E4B-ECEBD87AF049}"/>
                </a:ext>
                <a:ext uri="{147F2762-F138-4A5C-976F-8EAC2B608ADB}">
                  <a16:predDERef xmlns:a16="http://schemas.microsoft.com/office/drawing/2014/main" pred="{6196395B-9AF1-E38C-48EE-4A1656489510}"/>
                </a:ext>
              </a:extLst>
            </xdr:cNvPr>
            <xdr:cNvPicPr/>
          </xdr:nvPicPr>
          <xdr:blipFill>
            <a:blip xmlns:r="http://schemas.openxmlformats.org/officeDocument/2006/relationships" r:embed="rId976"/>
            <a:stretch>
              <a:fillRect/>
            </a:stretch>
          </xdr:blipFill>
          <xdr:spPr>
            <a:xfrm>
              <a:off x="12248280" y="4745880"/>
              <a:ext cx="957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260606</xdr:colOff>
      <xdr:row>36</xdr:row>
      <xdr:rowOff>23987</xdr:rowOff>
    </xdr:from>
    <xdr:to>
      <xdr:col>18</xdr:col>
      <xdr:colOff>306326</xdr:colOff>
      <xdr:row>36</xdr:row>
      <xdr:rowOff>129467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7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EA7640D6-5C7B-5044-3123-E530D1CEE473}"/>
                </a:ext>
                <a:ext uri="{147F2762-F138-4A5C-976F-8EAC2B608ADB}">
                  <a16:predDERef xmlns:a16="http://schemas.microsoft.com/office/drawing/2014/main" pred="{052B30E0-96AC-8DAF-0E4B-ECEBD87AF049}"/>
                </a:ext>
              </a:extLst>
            </xdr14:cNvPr>
            <xdr14:cNvContentPartPr/>
          </xdr14:nvContentPartPr>
          <xdr14:nvPr macro=""/>
          <xdr14:xfrm>
            <a:off x="13329316" y="7603019"/>
            <a:ext cx="45720" cy="10548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EA7640D6-5C7B-5044-3123-E530D1CEE473}"/>
                </a:ext>
                <a:ext uri="{147F2762-F138-4A5C-976F-8EAC2B608ADB}">
                  <a16:predDERef xmlns:a16="http://schemas.microsoft.com/office/drawing/2014/main" pred="{052B30E0-96AC-8DAF-0E4B-ECEBD87AF049}"/>
                </a:ext>
              </a:extLst>
            </xdr:cNvPr>
            <xdr:cNvPicPr/>
          </xdr:nvPicPr>
          <xdr:blipFill>
            <a:blip xmlns:r="http://schemas.openxmlformats.org/officeDocument/2006/relationships" r:embed="rId978"/>
            <a:stretch>
              <a:fillRect/>
            </a:stretch>
          </xdr:blipFill>
          <xdr:spPr>
            <a:xfrm>
              <a:off x="12339360" y="4806000"/>
              <a:ext cx="6696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335126</xdr:colOff>
      <xdr:row>35</xdr:row>
      <xdr:rowOff>150884</xdr:rowOff>
    </xdr:from>
    <xdr:to>
      <xdr:col>18</xdr:col>
      <xdr:colOff>378686</xdr:colOff>
      <xdr:row>36</xdr:row>
      <xdr:rowOff>101027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9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DD89A192-16B4-85ED-2761-5C48EC117F6F}"/>
                </a:ext>
                <a:ext uri="{147F2762-F138-4A5C-976F-8EAC2B608ADB}">
                  <a16:predDERef xmlns:a16="http://schemas.microsoft.com/office/drawing/2014/main" pred="{EA7640D6-5C7B-5044-3123-E530D1CEE473}"/>
                </a:ext>
              </a:extLst>
            </xdr14:cNvPr>
            <xdr14:cNvContentPartPr/>
          </xdr14:nvContentPartPr>
          <xdr14:nvPr macro=""/>
          <xdr14:xfrm>
            <a:off x="13403836" y="7525078"/>
            <a:ext cx="43560" cy="154981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DD89A192-16B4-85ED-2761-5C48EC117F6F}"/>
                </a:ext>
                <a:ext uri="{147F2762-F138-4A5C-976F-8EAC2B608ADB}">
                  <a16:predDERef xmlns:a16="http://schemas.microsoft.com/office/drawing/2014/main" pred="{EA7640D6-5C7B-5044-3123-E530D1CEE473}"/>
                </a:ext>
              </a:extLst>
            </xdr:cNvPr>
            <xdr:cNvPicPr/>
          </xdr:nvPicPr>
          <xdr:blipFill>
            <a:blip xmlns:r="http://schemas.openxmlformats.org/officeDocument/2006/relationships" r:embed="rId980"/>
            <a:stretch>
              <a:fillRect/>
            </a:stretch>
          </xdr:blipFill>
          <xdr:spPr>
            <a:xfrm>
              <a:off x="12413520" y="4740840"/>
              <a:ext cx="64800" cy="16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234387</xdr:colOff>
      <xdr:row>37</xdr:row>
      <xdr:rowOff>35688</xdr:rowOff>
    </xdr:from>
    <xdr:to>
      <xdr:col>17</xdr:col>
      <xdr:colOff>321147</xdr:colOff>
      <xdr:row>38</xdr:row>
      <xdr:rowOff>9590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1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291D5C8E-1B36-27B2-6FBB-297BCDD3D7BC}"/>
                </a:ext>
                <a:ext uri="{147F2762-F138-4A5C-976F-8EAC2B608ADB}">
                  <a16:predDERef xmlns:a16="http://schemas.microsoft.com/office/drawing/2014/main" pred="{32029F75-B436-7712-F753-78B0741C8D57}"/>
                </a:ext>
              </a:extLst>
            </xdr14:cNvPr>
            <xdr14:cNvContentPartPr/>
          </xdr14:nvContentPartPr>
          <xdr14:nvPr macro=""/>
          <xdr14:xfrm>
            <a:off x="12606645" y="7819559"/>
            <a:ext cx="86760" cy="178741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291D5C8E-1B36-27B2-6FBB-297BCDD3D7BC}"/>
                </a:ext>
                <a:ext uri="{147F2762-F138-4A5C-976F-8EAC2B608ADB}">
                  <a16:predDERef xmlns:a16="http://schemas.microsoft.com/office/drawing/2014/main" pred="{32029F75-B436-7712-F753-78B0741C8D57}"/>
                </a:ext>
              </a:extLst>
            </xdr:cNvPr>
            <xdr:cNvPicPr/>
          </xdr:nvPicPr>
          <xdr:blipFill>
            <a:blip xmlns:r="http://schemas.openxmlformats.org/officeDocument/2006/relationships" r:embed="rId984"/>
            <a:stretch>
              <a:fillRect/>
            </a:stretch>
          </xdr:blipFill>
          <xdr:spPr>
            <a:xfrm>
              <a:off x="11666160" y="5009400"/>
              <a:ext cx="10800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337347</xdr:colOff>
      <xdr:row>37</xdr:row>
      <xdr:rowOff>110208</xdr:rowOff>
    </xdr:from>
    <xdr:to>
      <xdr:col>17</xdr:col>
      <xdr:colOff>409707</xdr:colOff>
      <xdr:row>37</xdr:row>
      <xdr:rowOff>115248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5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C666485C-1A5B-5604-E38B-CD801B91BD1B}"/>
                </a:ext>
                <a:ext uri="{147F2762-F138-4A5C-976F-8EAC2B608ADB}">
                  <a16:predDERef xmlns:a16="http://schemas.microsoft.com/office/drawing/2014/main" pred="{291D5C8E-1B36-27B2-6FBB-297BCDD3D7BC}"/>
                </a:ext>
              </a:extLst>
            </xdr14:cNvPr>
            <xdr14:cNvContentPartPr/>
          </xdr14:nvContentPartPr>
          <xdr14:nvPr macro=""/>
          <xdr14:xfrm>
            <a:off x="12709605" y="7894079"/>
            <a:ext cx="72360" cy="504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C666485C-1A5B-5604-E38B-CD801B91BD1B}"/>
                </a:ext>
                <a:ext uri="{147F2762-F138-4A5C-976F-8EAC2B608ADB}">
                  <a16:predDERef xmlns:a16="http://schemas.microsoft.com/office/drawing/2014/main" pred="{291D5C8E-1B36-27B2-6FBB-297BCDD3D7BC}"/>
                </a:ext>
              </a:extLst>
            </xdr:cNvPr>
            <xdr:cNvPicPr/>
          </xdr:nvPicPr>
          <xdr:blipFill>
            <a:blip xmlns:r="http://schemas.openxmlformats.org/officeDocument/2006/relationships" r:embed="rId986"/>
            <a:stretch>
              <a:fillRect/>
            </a:stretch>
          </xdr:blipFill>
          <xdr:spPr>
            <a:xfrm>
              <a:off x="11769120" y="5083560"/>
              <a:ext cx="93600" cy="2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390267</xdr:colOff>
      <xdr:row>37</xdr:row>
      <xdr:rowOff>88608</xdr:rowOff>
    </xdr:from>
    <xdr:to>
      <xdr:col>17</xdr:col>
      <xdr:colOff>400347</xdr:colOff>
      <xdr:row>37</xdr:row>
      <xdr:rowOff>163128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7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AA137F2D-CAFA-DFE2-AF12-1E07A44FB60E}"/>
                </a:ext>
                <a:ext uri="{147F2762-F138-4A5C-976F-8EAC2B608ADB}">
                  <a16:predDERef xmlns:a16="http://schemas.microsoft.com/office/drawing/2014/main" pred="{C666485C-1A5B-5604-E38B-CD801B91BD1B}"/>
                </a:ext>
              </a:extLst>
            </xdr14:cNvPr>
            <xdr14:cNvContentPartPr/>
          </xdr14:nvContentPartPr>
          <xdr14:nvPr macro=""/>
          <xdr14:xfrm>
            <a:off x="12762525" y="7872479"/>
            <a:ext cx="10080" cy="7452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AA137F2D-CAFA-DFE2-AF12-1E07A44FB60E}"/>
                </a:ext>
                <a:ext uri="{147F2762-F138-4A5C-976F-8EAC2B608ADB}">
                  <a16:predDERef xmlns:a16="http://schemas.microsoft.com/office/drawing/2014/main" pred="{C666485C-1A5B-5604-E38B-CD801B91BD1B}"/>
                </a:ext>
              </a:extLst>
            </xdr:cNvPr>
            <xdr:cNvPicPr/>
          </xdr:nvPicPr>
          <xdr:blipFill>
            <a:blip xmlns:r="http://schemas.openxmlformats.org/officeDocument/2006/relationships" r:embed="rId988"/>
            <a:stretch>
              <a:fillRect/>
            </a:stretch>
          </xdr:blipFill>
          <xdr:spPr>
            <a:xfrm>
              <a:off x="11821680" y="5061960"/>
              <a:ext cx="3132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457227</xdr:colOff>
      <xdr:row>37</xdr:row>
      <xdr:rowOff>45408</xdr:rowOff>
    </xdr:from>
    <xdr:to>
      <xdr:col>17</xdr:col>
      <xdr:colOff>591867</xdr:colOff>
      <xdr:row>38</xdr:row>
      <xdr:rowOff>26510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9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14059ECE-E2B6-E522-8D74-F6279861BCA9}"/>
                </a:ext>
                <a:ext uri="{147F2762-F138-4A5C-976F-8EAC2B608ADB}">
                  <a16:predDERef xmlns:a16="http://schemas.microsoft.com/office/drawing/2014/main" pred="{AA137F2D-CAFA-DFE2-AF12-1E07A44FB60E}"/>
                </a:ext>
              </a:extLst>
            </xdr14:cNvPr>
            <xdr14:cNvContentPartPr/>
          </xdr14:nvContentPartPr>
          <xdr14:nvPr macro=""/>
          <xdr14:xfrm>
            <a:off x="12829485" y="7829279"/>
            <a:ext cx="134640" cy="185941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14059ECE-E2B6-E522-8D74-F6279861BCA9}"/>
                </a:ext>
                <a:ext uri="{147F2762-F138-4A5C-976F-8EAC2B608ADB}">
                  <a16:predDERef xmlns:a16="http://schemas.microsoft.com/office/drawing/2014/main" pred="{AA137F2D-CAFA-DFE2-AF12-1E07A44FB60E}"/>
                </a:ext>
              </a:extLst>
            </xdr:cNvPr>
            <xdr:cNvPicPr/>
          </xdr:nvPicPr>
          <xdr:blipFill>
            <a:blip xmlns:r="http://schemas.openxmlformats.org/officeDocument/2006/relationships" r:embed="rId990"/>
            <a:stretch>
              <a:fillRect/>
            </a:stretch>
          </xdr:blipFill>
          <xdr:spPr>
            <a:xfrm>
              <a:off x="11889000" y="5018760"/>
              <a:ext cx="15588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603387</xdr:colOff>
      <xdr:row>37</xdr:row>
      <xdr:rowOff>61968</xdr:rowOff>
    </xdr:from>
    <xdr:to>
      <xdr:col>18</xdr:col>
      <xdr:colOff>15260</xdr:colOff>
      <xdr:row>38</xdr:row>
      <xdr:rowOff>28670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1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AFE05AE6-0053-D226-A92E-83730AD5E71B}"/>
                </a:ext>
                <a:ext uri="{147F2762-F138-4A5C-976F-8EAC2B608ADB}">
                  <a16:predDERef xmlns:a16="http://schemas.microsoft.com/office/drawing/2014/main" pred="{14059ECE-E2B6-E522-8D74-F6279861BCA9}"/>
                </a:ext>
              </a:extLst>
            </xdr14:cNvPr>
            <xdr14:cNvContentPartPr/>
          </xdr14:nvContentPartPr>
          <xdr14:nvPr macro=""/>
          <xdr14:xfrm>
            <a:off x="12975645" y="7845839"/>
            <a:ext cx="108325" cy="171541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AFE05AE6-0053-D226-A92E-83730AD5E71B}"/>
                </a:ext>
                <a:ext uri="{147F2762-F138-4A5C-976F-8EAC2B608ADB}">
                  <a16:predDERef xmlns:a16="http://schemas.microsoft.com/office/drawing/2014/main" pred="{14059ECE-E2B6-E522-8D74-F6279861BCA9}"/>
                </a:ext>
              </a:extLst>
            </xdr:cNvPr>
            <xdr:cNvPicPr/>
          </xdr:nvPicPr>
          <xdr:blipFill>
            <a:blip xmlns:r="http://schemas.openxmlformats.org/officeDocument/2006/relationships" r:embed="rId992"/>
            <a:stretch>
              <a:fillRect/>
            </a:stretch>
          </xdr:blipFill>
          <xdr:spPr>
            <a:xfrm>
              <a:off x="12035160" y="5035680"/>
              <a:ext cx="885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138987</xdr:colOff>
      <xdr:row>37</xdr:row>
      <xdr:rowOff>14448</xdr:rowOff>
    </xdr:from>
    <xdr:to>
      <xdr:col>17</xdr:col>
      <xdr:colOff>225387</xdr:colOff>
      <xdr:row>38</xdr:row>
      <xdr:rowOff>34032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3">
          <xdr14:nvContentPartPr>
            <xdr14:cNvPr id="46" name="Ink 513">
              <a:extLst>
                <a:ext uri="{FF2B5EF4-FFF2-40B4-BE49-F238E27FC236}">
                  <a16:creationId xmlns:a16="http://schemas.microsoft.com/office/drawing/2014/main" id="{FEEAE2B7-D352-6373-46AF-4658CA372357}"/>
                </a:ext>
                <a:ext uri="{147F2762-F138-4A5C-976F-8EAC2B608ADB}">
                  <a16:predDERef xmlns:a16="http://schemas.microsoft.com/office/drawing/2014/main" pred="{AFE05AE6-0053-D226-A92E-83730AD5E71B}"/>
                </a:ext>
              </a:extLst>
            </xdr14:cNvPr>
            <xdr14:cNvContentPartPr/>
          </xdr14:nvContentPartPr>
          <xdr14:nvPr macro=""/>
          <xdr14:xfrm>
            <a:off x="12511245" y="7798319"/>
            <a:ext cx="86400" cy="224423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FEEAE2B7-D352-6373-46AF-4658CA372357}"/>
                </a:ext>
                <a:ext uri="{147F2762-F138-4A5C-976F-8EAC2B608ADB}">
                  <a16:predDERef xmlns:a16="http://schemas.microsoft.com/office/drawing/2014/main" pred="{AFE05AE6-0053-D226-A92E-83730AD5E71B}"/>
                </a:ext>
              </a:extLst>
            </xdr:cNvPr>
            <xdr:cNvPicPr/>
          </xdr:nvPicPr>
          <xdr:blipFill>
            <a:blip xmlns:r="http://schemas.openxmlformats.org/officeDocument/2006/relationships" r:embed="rId994"/>
            <a:stretch>
              <a:fillRect/>
            </a:stretch>
          </xdr:blipFill>
          <xdr:spPr>
            <a:xfrm>
              <a:off x="11570400" y="4988160"/>
              <a:ext cx="107640" cy="23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44966</xdr:colOff>
      <xdr:row>37</xdr:row>
      <xdr:rowOff>19128</xdr:rowOff>
    </xdr:from>
    <xdr:to>
      <xdr:col>18</xdr:col>
      <xdr:colOff>148286</xdr:colOff>
      <xdr:row>37</xdr:row>
      <xdr:rowOff>74568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5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FF5511D6-FE4C-033A-EEA4-1EA67BDC6025}"/>
                </a:ext>
                <a:ext uri="{147F2762-F138-4A5C-976F-8EAC2B608ADB}">
                  <a16:predDERef xmlns:a16="http://schemas.microsoft.com/office/drawing/2014/main" pred="{FEEAE2B7-D352-6373-46AF-4658CA372357}"/>
                </a:ext>
              </a:extLst>
            </xdr14:cNvPr>
            <xdr14:cNvContentPartPr/>
          </xdr14:nvContentPartPr>
          <xdr14:nvPr macro=""/>
          <xdr14:xfrm>
            <a:off x="13113676" y="7802999"/>
            <a:ext cx="103320" cy="55440"/>
          </xdr14:xfrm>
        </xdr:contentPart>
      </mc:Choice>
      <mc:Fallback xmlns=""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FF5511D6-FE4C-033A-EEA4-1EA67BDC6025}"/>
                </a:ext>
                <a:ext uri="{147F2762-F138-4A5C-976F-8EAC2B608ADB}">
                  <a16:predDERef xmlns:a16="http://schemas.microsoft.com/office/drawing/2014/main" pred="{FEEAE2B7-D352-6373-46AF-4658CA372357}"/>
                </a:ext>
              </a:extLst>
            </xdr:cNvPr>
            <xdr:cNvPicPr/>
          </xdr:nvPicPr>
          <xdr:blipFill>
            <a:blip xmlns:r="http://schemas.openxmlformats.org/officeDocument/2006/relationships" r:embed="rId996"/>
            <a:stretch>
              <a:fillRect/>
            </a:stretch>
          </xdr:blipFill>
          <xdr:spPr>
            <a:xfrm>
              <a:off x="12123720" y="4992480"/>
              <a:ext cx="124560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423686</xdr:colOff>
      <xdr:row>35</xdr:row>
      <xdr:rowOff>126764</xdr:rowOff>
    </xdr:from>
    <xdr:to>
      <xdr:col>18</xdr:col>
      <xdr:colOff>584606</xdr:colOff>
      <xdr:row>38</xdr:row>
      <xdr:rowOff>27950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7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C1D711CD-AE8B-667D-A35D-7A6E71E49A13}"/>
                </a:ext>
                <a:ext uri="{147F2762-F138-4A5C-976F-8EAC2B608ADB}">
                  <a16:predDERef xmlns:a16="http://schemas.microsoft.com/office/drawing/2014/main" pred="{FF5511D6-FE4C-033A-EEA4-1EA67BDC6025}"/>
                </a:ext>
              </a:extLst>
            </xdr14:cNvPr>
            <xdr14:cNvContentPartPr/>
          </xdr14:nvContentPartPr>
          <xdr14:nvPr macro=""/>
          <xdr14:xfrm>
            <a:off x="13492396" y="7500958"/>
            <a:ext cx="160920" cy="515702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C1D711CD-AE8B-667D-A35D-7A6E71E49A13}"/>
                </a:ext>
                <a:ext uri="{147F2762-F138-4A5C-976F-8EAC2B608ADB}">
                  <a16:predDERef xmlns:a16="http://schemas.microsoft.com/office/drawing/2014/main" pred="{FF5511D6-FE4C-033A-EEA4-1EA67BDC6025}"/>
                </a:ext>
              </a:extLst>
            </xdr:cNvPr>
            <xdr:cNvPicPr/>
          </xdr:nvPicPr>
          <xdr:blipFill>
            <a:blip xmlns:r="http://schemas.openxmlformats.org/officeDocument/2006/relationships" r:embed="rId998"/>
            <a:stretch>
              <a:fillRect/>
            </a:stretch>
          </xdr:blipFill>
          <xdr:spPr>
            <a:xfrm>
              <a:off x="12502440" y="4717080"/>
              <a:ext cx="182160" cy="49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393132</xdr:colOff>
      <xdr:row>40</xdr:row>
      <xdr:rowOff>5100</xdr:rowOff>
    </xdr:from>
    <xdr:to>
      <xdr:col>15</xdr:col>
      <xdr:colOff>446772</xdr:colOff>
      <xdr:row>40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9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41D4B14D-A940-3E8E-D0A6-E541A0B89113}"/>
                </a:ext>
                <a:ext uri="{147F2762-F138-4A5C-976F-8EAC2B608ADB}">
                  <a16:predDERef xmlns:a16="http://schemas.microsoft.com/office/drawing/2014/main" pred="{C1D711CD-AE8B-667D-A35D-7A6E71E49A13}"/>
                </a:ext>
              </a:extLst>
            </xdr14:cNvPr>
            <xdr14:cNvContentPartPr/>
          </xdr14:nvContentPartPr>
          <xdr14:nvPr macro=""/>
          <xdr14:xfrm>
            <a:off x="11372487" y="8403487"/>
            <a:ext cx="53640" cy="1548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41D4B14D-A940-3E8E-D0A6-E541A0B89113}"/>
                </a:ext>
                <a:ext uri="{147F2762-F138-4A5C-976F-8EAC2B608ADB}">
                  <a16:predDERef xmlns:a16="http://schemas.microsoft.com/office/drawing/2014/main" pred="{C1D711CD-AE8B-667D-A35D-7A6E71E49A13}"/>
                </a:ext>
              </a:extLst>
            </xdr:cNvPr>
            <xdr:cNvPicPr/>
          </xdr:nvPicPr>
          <xdr:blipFill>
            <a:blip xmlns:r="http://schemas.openxmlformats.org/officeDocument/2006/relationships" r:embed="rId1000"/>
            <a:stretch>
              <a:fillRect/>
            </a:stretch>
          </xdr:blipFill>
          <xdr:spPr>
            <a:xfrm>
              <a:off x="10535400" y="5519160"/>
              <a:ext cx="7488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405732</xdr:colOff>
      <xdr:row>40</xdr:row>
      <xdr:rowOff>53340</xdr:rowOff>
    </xdr:from>
    <xdr:to>
      <xdr:col>15</xdr:col>
      <xdr:colOff>444252</xdr:colOff>
      <xdr:row>40</xdr:row>
      <xdr:rowOff>63780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1">
          <xdr14:nvContentPartPr>
            <xdr14:cNvPr id="518" name="Ink 517">
              <a:extLst>
                <a:ext uri="{FF2B5EF4-FFF2-40B4-BE49-F238E27FC236}">
                  <a16:creationId xmlns:a16="http://schemas.microsoft.com/office/drawing/2014/main" id="{06CB83F8-3D60-B279-829C-95367FD2F1EF}"/>
                </a:ext>
                <a:ext uri="{147F2762-F138-4A5C-976F-8EAC2B608ADB}">
                  <a16:predDERef xmlns:a16="http://schemas.microsoft.com/office/drawing/2014/main" pred="{41D4B14D-A940-3E8E-D0A6-E541A0B89113}"/>
                </a:ext>
              </a:extLst>
            </xdr14:cNvPr>
            <xdr14:cNvContentPartPr/>
          </xdr14:nvContentPartPr>
          <xdr14:nvPr macro=""/>
          <xdr14:xfrm>
            <a:off x="11385087" y="8451727"/>
            <a:ext cx="38520" cy="10440"/>
          </xdr14:xfrm>
        </xdr:contentPart>
      </mc:Choice>
      <mc:Fallback xmlns="">
        <xdr:pic>
          <xdr:nvPicPr>
            <xdr:cNvPr id="518" name="Ink 517">
              <a:extLst>
                <a:ext uri="{FF2B5EF4-FFF2-40B4-BE49-F238E27FC236}">
                  <a16:creationId xmlns:a16="http://schemas.microsoft.com/office/drawing/2014/main" id="{06CB83F8-3D60-B279-829C-95367FD2F1EF}"/>
                </a:ext>
                <a:ext uri="{147F2762-F138-4A5C-976F-8EAC2B608ADB}">
                  <a16:predDERef xmlns:a16="http://schemas.microsoft.com/office/drawing/2014/main" pred="{41D4B14D-A940-3E8E-D0A6-E541A0B89113}"/>
                </a:ext>
              </a:extLst>
            </xdr:cNvPr>
            <xdr:cNvPicPr/>
          </xdr:nvPicPr>
          <xdr:blipFill>
            <a:blip xmlns:r="http://schemas.openxmlformats.org/officeDocument/2006/relationships" r:embed="rId1002"/>
            <a:stretch>
              <a:fillRect/>
            </a:stretch>
          </xdr:blipFill>
          <xdr:spPr>
            <a:xfrm>
              <a:off x="10548000" y="5567040"/>
              <a:ext cx="5976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678043</xdr:colOff>
      <xdr:row>39</xdr:row>
      <xdr:rowOff>91560</xdr:rowOff>
    </xdr:from>
    <xdr:to>
      <xdr:col>16</xdr:col>
      <xdr:colOff>80952</xdr:colOff>
      <xdr:row>40</xdr:row>
      <xdr:rowOff>70980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3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77462D17-E2E6-F4A6-E4DA-365200C1F0CE}"/>
                </a:ext>
                <a:ext uri="{147F2762-F138-4A5C-976F-8EAC2B608ADB}">
                  <a16:predDERef xmlns:a16="http://schemas.microsoft.com/office/drawing/2014/main" pred="{06CB83F8-3D60-B279-829C-95367FD2F1EF}"/>
                </a:ext>
              </a:extLst>
            </xdr14:cNvPr>
            <xdr14:cNvContentPartPr/>
          </xdr14:nvContentPartPr>
          <xdr14:nvPr macro=""/>
          <xdr14:xfrm>
            <a:off x="11657398" y="8285108"/>
            <a:ext cx="99360" cy="184259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77462D17-E2E6-F4A6-E4DA-365200C1F0CE}"/>
                </a:ext>
                <a:ext uri="{147F2762-F138-4A5C-976F-8EAC2B608ADB}">
                  <a16:predDERef xmlns:a16="http://schemas.microsoft.com/office/drawing/2014/main" pred="{06CB83F8-3D60-B279-829C-95367FD2F1EF}"/>
                </a:ext>
              </a:extLst>
            </xdr:cNvPr>
            <xdr:cNvPicPr/>
          </xdr:nvPicPr>
          <xdr:blipFill>
            <a:blip xmlns:r="http://schemas.openxmlformats.org/officeDocument/2006/relationships" r:embed="rId1004"/>
            <a:stretch>
              <a:fillRect/>
            </a:stretch>
          </xdr:blipFill>
          <xdr:spPr>
            <a:xfrm>
              <a:off x="10771560" y="5414760"/>
              <a:ext cx="120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101112</xdr:colOff>
      <xdr:row>39</xdr:row>
      <xdr:rowOff>149520</xdr:rowOff>
    </xdr:from>
    <xdr:to>
      <xdr:col>16</xdr:col>
      <xdr:colOff>127032</xdr:colOff>
      <xdr:row>40</xdr:row>
      <xdr:rowOff>43260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5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C4794006-D30B-497A-868E-B1F7CF77E193}"/>
                </a:ext>
                <a:ext uri="{147F2762-F138-4A5C-976F-8EAC2B608ADB}">
                  <a16:predDERef xmlns:a16="http://schemas.microsoft.com/office/drawing/2014/main" pred="{77462D17-E2E6-F4A6-E4DA-365200C1F0CE}"/>
                </a:ext>
              </a:extLst>
            </xdr14:cNvPr>
            <xdr14:cNvContentPartPr/>
          </xdr14:nvContentPartPr>
          <xdr14:nvPr macro=""/>
          <xdr14:xfrm>
            <a:off x="11776918" y="8343068"/>
            <a:ext cx="25920" cy="98579"/>
          </xdr14:xfrm>
        </xdr:contentPart>
      </mc:Choice>
      <mc:Fallback xmlns=""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C4794006-D30B-497A-868E-B1F7CF77E193}"/>
                </a:ext>
                <a:ext uri="{147F2762-F138-4A5C-976F-8EAC2B608ADB}">
                  <a16:predDERef xmlns:a16="http://schemas.microsoft.com/office/drawing/2014/main" pred="{77462D17-E2E6-F4A6-E4DA-365200C1F0CE}"/>
                </a:ext>
              </a:extLst>
            </xdr:cNvPr>
            <xdr:cNvPicPr/>
          </xdr:nvPicPr>
          <xdr:blipFill>
            <a:blip xmlns:r="http://schemas.openxmlformats.org/officeDocument/2006/relationships" r:embed="rId1006"/>
            <a:stretch>
              <a:fillRect/>
            </a:stretch>
          </xdr:blipFill>
          <xdr:spPr>
            <a:xfrm>
              <a:off x="10890720" y="5473080"/>
              <a:ext cx="4716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161952</xdr:colOff>
      <xdr:row>39</xdr:row>
      <xdr:rowOff>154920</xdr:rowOff>
    </xdr:from>
    <xdr:to>
      <xdr:col>16</xdr:col>
      <xdr:colOff>314592</xdr:colOff>
      <xdr:row>40</xdr:row>
      <xdr:rowOff>88980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7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A205D324-37E0-98A5-600F-66FD1E025753}"/>
                </a:ext>
                <a:ext uri="{147F2762-F138-4A5C-976F-8EAC2B608ADB}">
                  <a16:predDERef xmlns:a16="http://schemas.microsoft.com/office/drawing/2014/main" pred="{C4794006-D30B-497A-868E-B1F7CF77E193}"/>
                </a:ext>
              </a:extLst>
            </xdr14:cNvPr>
            <xdr14:cNvContentPartPr/>
          </xdr14:nvContentPartPr>
          <xdr14:nvPr macro=""/>
          <xdr14:xfrm>
            <a:off x="11837758" y="8348468"/>
            <a:ext cx="152640" cy="138899"/>
          </xdr14:xfrm>
        </xdr:contentPart>
      </mc:Choice>
      <mc:Fallback xmlns=""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A205D324-37E0-98A5-600F-66FD1E025753}"/>
                </a:ext>
                <a:ext uri="{147F2762-F138-4A5C-976F-8EAC2B608ADB}">
                  <a16:predDERef xmlns:a16="http://schemas.microsoft.com/office/drawing/2014/main" pred="{C4794006-D30B-497A-868E-B1F7CF77E193}"/>
                </a:ext>
              </a:extLst>
            </xdr:cNvPr>
            <xdr:cNvPicPr/>
          </xdr:nvPicPr>
          <xdr:blipFill>
            <a:blip xmlns:r="http://schemas.openxmlformats.org/officeDocument/2006/relationships" r:embed="rId1008"/>
            <a:stretch>
              <a:fillRect/>
            </a:stretch>
          </xdr:blipFill>
          <xdr:spPr>
            <a:xfrm>
              <a:off x="10951920" y="5478120"/>
              <a:ext cx="17388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578472</xdr:colOff>
      <xdr:row>38</xdr:row>
      <xdr:rowOff>160019</xdr:rowOff>
    </xdr:from>
    <xdr:to>
      <xdr:col>17</xdr:col>
      <xdr:colOff>26705</xdr:colOff>
      <xdr:row>39</xdr:row>
      <xdr:rowOff>132600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9">
          <xdr14:nvContentPartPr>
            <xdr14:cNvPr id="522" name="Ink 521">
              <a:extLst>
                <a:ext uri="{FF2B5EF4-FFF2-40B4-BE49-F238E27FC236}">
                  <a16:creationId xmlns:a16="http://schemas.microsoft.com/office/drawing/2014/main" id="{22A0F517-CCFC-034A-C21D-541260BE4769}"/>
                </a:ext>
                <a:ext uri="{147F2762-F138-4A5C-976F-8EAC2B608ADB}">
                  <a16:predDERef xmlns:a16="http://schemas.microsoft.com/office/drawing/2014/main" pred="{A205D324-37E0-98A5-600F-66FD1E025753}"/>
                </a:ext>
              </a:extLst>
            </xdr14:cNvPr>
            <xdr14:cNvContentPartPr/>
          </xdr14:nvContentPartPr>
          <xdr14:nvPr macro=""/>
          <xdr14:xfrm>
            <a:off x="12254278" y="8148729"/>
            <a:ext cx="144685" cy="177419"/>
          </xdr14:xfrm>
        </xdr:contentPart>
      </mc:Choice>
      <mc:Fallback xmlns="">
        <xdr:pic>
          <xdr:nvPicPr>
            <xdr:cNvPr id="522" name="Ink 521">
              <a:extLst>
                <a:ext uri="{FF2B5EF4-FFF2-40B4-BE49-F238E27FC236}">
                  <a16:creationId xmlns:a16="http://schemas.microsoft.com/office/drawing/2014/main" id="{22A0F517-CCFC-034A-C21D-541260BE4769}"/>
                </a:ext>
                <a:ext uri="{147F2762-F138-4A5C-976F-8EAC2B608ADB}">
                  <a16:predDERef xmlns:a16="http://schemas.microsoft.com/office/drawing/2014/main" pred="{A205D324-37E0-98A5-600F-66FD1E025753}"/>
                </a:ext>
              </a:extLst>
            </xdr:cNvPr>
            <xdr:cNvPicPr/>
          </xdr:nvPicPr>
          <xdr:blipFill>
            <a:blip xmlns:r="http://schemas.openxmlformats.org/officeDocument/2006/relationships" r:embed="rId1010"/>
            <a:stretch>
              <a:fillRect/>
            </a:stretch>
          </xdr:blipFill>
          <xdr:spPr>
            <a:xfrm>
              <a:off x="11368440" y="5292720"/>
              <a:ext cx="12564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437352</xdr:colOff>
      <xdr:row>39</xdr:row>
      <xdr:rowOff>149520</xdr:rowOff>
    </xdr:from>
    <xdr:to>
      <xdr:col>17</xdr:col>
      <xdr:colOff>208505</xdr:colOff>
      <xdr:row>39</xdr:row>
      <xdr:rowOff>175440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1">
          <xdr14:nvContentPartPr>
            <xdr14:cNvPr id="523" name="Ink 522">
              <a:extLst>
                <a:ext uri="{FF2B5EF4-FFF2-40B4-BE49-F238E27FC236}">
                  <a16:creationId xmlns:a16="http://schemas.microsoft.com/office/drawing/2014/main" id="{C93C83CF-3D3E-85EA-F0BC-17A7236CED86}"/>
                </a:ext>
                <a:ext uri="{147F2762-F138-4A5C-976F-8EAC2B608ADB}">
                  <a16:predDERef xmlns:a16="http://schemas.microsoft.com/office/drawing/2014/main" pred="{22A0F517-CCFC-034A-C21D-541260BE4769}"/>
                </a:ext>
              </a:extLst>
            </xdr14:cNvPr>
            <xdr14:cNvContentPartPr/>
          </xdr14:nvContentPartPr>
          <xdr14:nvPr macro=""/>
          <xdr14:xfrm>
            <a:off x="12113158" y="8343068"/>
            <a:ext cx="467605" cy="25920"/>
          </xdr14:xfrm>
        </xdr:contentPart>
      </mc:Choice>
      <mc:Fallback xmlns="">
        <xdr:pic>
          <xdr:nvPicPr>
            <xdr:cNvPr id="523" name="Ink 522">
              <a:extLst>
                <a:ext uri="{FF2B5EF4-FFF2-40B4-BE49-F238E27FC236}">
                  <a16:creationId xmlns:a16="http://schemas.microsoft.com/office/drawing/2014/main" id="{C93C83CF-3D3E-85EA-F0BC-17A7236CED86}"/>
                </a:ext>
                <a:ext uri="{147F2762-F138-4A5C-976F-8EAC2B608ADB}">
                  <a16:predDERef xmlns:a16="http://schemas.microsoft.com/office/drawing/2014/main" pred="{22A0F517-CCFC-034A-C21D-541260BE4769}"/>
                </a:ext>
              </a:extLst>
            </xdr:cNvPr>
            <xdr:cNvPicPr/>
          </xdr:nvPicPr>
          <xdr:blipFill>
            <a:blip xmlns:r="http://schemas.openxmlformats.org/officeDocument/2006/relationships" r:embed="rId1012"/>
            <a:stretch>
              <a:fillRect/>
            </a:stretch>
          </xdr:blipFill>
          <xdr:spPr>
            <a:xfrm>
              <a:off x="11227320" y="5473080"/>
              <a:ext cx="448560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502512</xdr:colOff>
      <xdr:row>40</xdr:row>
      <xdr:rowOff>23100</xdr:rowOff>
    </xdr:from>
    <xdr:to>
      <xdr:col>16</xdr:col>
      <xdr:colOff>586752</xdr:colOff>
      <xdr:row>40</xdr:row>
      <xdr:rowOff>177540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3">
          <xdr14:nvContentPartPr>
            <xdr14:cNvPr id="524" name="Ink 523">
              <a:extLst>
                <a:ext uri="{FF2B5EF4-FFF2-40B4-BE49-F238E27FC236}">
                  <a16:creationId xmlns:a16="http://schemas.microsoft.com/office/drawing/2014/main" id="{B25347ED-305D-F4CB-10A0-4C9762154305}"/>
                </a:ext>
                <a:ext uri="{147F2762-F138-4A5C-976F-8EAC2B608ADB}">
                  <a16:predDERef xmlns:a16="http://schemas.microsoft.com/office/drawing/2014/main" pred="{C93C83CF-3D3E-85EA-F0BC-17A7236CED86}"/>
                </a:ext>
              </a:extLst>
            </xdr14:cNvPr>
            <xdr14:cNvContentPartPr/>
          </xdr14:nvContentPartPr>
          <xdr14:nvPr macro=""/>
          <xdr14:xfrm>
            <a:off x="12178318" y="8421487"/>
            <a:ext cx="84240" cy="154440"/>
          </xdr14:xfrm>
        </xdr:contentPart>
      </mc:Choice>
      <mc:Fallback xmlns="">
        <xdr:pic>
          <xdr:nvPicPr>
            <xdr:cNvPr id="524" name="Ink 523">
              <a:extLst>
                <a:ext uri="{FF2B5EF4-FFF2-40B4-BE49-F238E27FC236}">
                  <a16:creationId xmlns:a16="http://schemas.microsoft.com/office/drawing/2014/main" id="{B25347ED-305D-F4CB-10A0-4C9762154305}"/>
                </a:ext>
                <a:ext uri="{147F2762-F138-4A5C-976F-8EAC2B608ADB}">
                  <a16:predDERef xmlns:a16="http://schemas.microsoft.com/office/drawing/2014/main" pred="{C93C83CF-3D3E-85EA-F0BC-17A7236CED86}"/>
                </a:ext>
              </a:extLst>
            </xdr:cNvPr>
            <xdr:cNvPicPr/>
          </xdr:nvPicPr>
          <xdr:blipFill>
            <a:blip xmlns:r="http://schemas.openxmlformats.org/officeDocument/2006/relationships" r:embed="rId1014"/>
            <a:stretch>
              <a:fillRect/>
            </a:stretch>
          </xdr:blipFill>
          <xdr:spPr>
            <a:xfrm>
              <a:off x="11292120" y="5537160"/>
              <a:ext cx="1054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586392</xdr:colOff>
      <xdr:row>40</xdr:row>
      <xdr:rowOff>91140</xdr:rowOff>
    </xdr:from>
    <xdr:to>
      <xdr:col>17</xdr:col>
      <xdr:colOff>393</xdr:colOff>
      <xdr:row>40</xdr:row>
      <xdr:rowOff>101580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5">
          <xdr14:nvContentPartPr>
            <xdr14:cNvPr id="525" name="Ink 524">
              <a:extLst>
                <a:ext uri="{FF2B5EF4-FFF2-40B4-BE49-F238E27FC236}">
                  <a16:creationId xmlns:a16="http://schemas.microsoft.com/office/drawing/2014/main" id="{451EECC1-0EE0-1592-49B8-E3515E64E011}"/>
                </a:ext>
                <a:ext uri="{147F2762-F138-4A5C-976F-8EAC2B608ADB}">
                  <a16:predDERef xmlns:a16="http://schemas.microsoft.com/office/drawing/2014/main" pred="{B25347ED-305D-F4CB-10A0-4C9762154305}"/>
                </a:ext>
              </a:extLst>
            </xdr14:cNvPr>
            <xdr14:cNvContentPartPr/>
          </xdr14:nvContentPartPr>
          <xdr14:nvPr macro=""/>
          <xdr14:xfrm>
            <a:off x="12262198" y="8489527"/>
            <a:ext cx="106525" cy="10440"/>
          </xdr14:xfrm>
        </xdr:contentPart>
      </mc:Choice>
      <mc:Fallback xmlns="">
        <xdr:pic>
          <xdr:nvPicPr>
            <xdr:cNvPr id="525" name="Ink 524">
              <a:extLst>
                <a:ext uri="{FF2B5EF4-FFF2-40B4-BE49-F238E27FC236}">
                  <a16:creationId xmlns:a16="http://schemas.microsoft.com/office/drawing/2014/main" id="{451EECC1-0EE0-1592-49B8-E3515E64E011}"/>
                </a:ext>
                <a:ext uri="{147F2762-F138-4A5C-976F-8EAC2B608ADB}">
                  <a16:predDERef xmlns:a16="http://schemas.microsoft.com/office/drawing/2014/main" pred="{B25347ED-305D-F4CB-10A0-4C9762154305}"/>
                </a:ext>
              </a:extLst>
            </xdr:cNvPr>
            <xdr:cNvPicPr/>
          </xdr:nvPicPr>
          <xdr:blipFill>
            <a:blip xmlns:r="http://schemas.openxmlformats.org/officeDocument/2006/relationships" r:embed="rId1016"/>
            <a:stretch>
              <a:fillRect/>
            </a:stretch>
          </xdr:blipFill>
          <xdr:spPr>
            <a:xfrm>
              <a:off x="11376000" y="5605200"/>
              <a:ext cx="87480" cy="3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683384</xdr:colOff>
      <xdr:row>40</xdr:row>
      <xdr:rowOff>60900</xdr:rowOff>
    </xdr:from>
    <xdr:to>
      <xdr:col>17</xdr:col>
      <xdr:colOff>4932</xdr:colOff>
      <xdr:row>40</xdr:row>
      <xdr:rowOff>155220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7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F91F30E9-AED7-0164-5737-D08D96F09FAF}"/>
                </a:ext>
                <a:ext uri="{147F2762-F138-4A5C-976F-8EAC2B608ADB}">
                  <a16:predDERef xmlns:a16="http://schemas.microsoft.com/office/drawing/2014/main" pred="{451EECC1-0EE0-1592-49B8-E3515E64E011}"/>
                </a:ext>
              </a:extLst>
            </xdr14:cNvPr>
            <xdr14:cNvContentPartPr/>
          </xdr14:nvContentPartPr>
          <xdr14:nvPr macro=""/>
          <xdr14:xfrm>
            <a:off x="12359190" y="8459287"/>
            <a:ext cx="18000" cy="9432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F91F30E9-AED7-0164-5737-D08D96F09FAF}"/>
                </a:ext>
                <a:ext uri="{147F2762-F138-4A5C-976F-8EAC2B608ADB}">
                  <a16:predDERef xmlns:a16="http://schemas.microsoft.com/office/drawing/2014/main" pred="{451EECC1-0EE0-1592-49B8-E3515E64E011}"/>
                </a:ext>
              </a:extLst>
            </xdr:cNvPr>
            <xdr:cNvPicPr/>
          </xdr:nvPicPr>
          <xdr:blipFill>
            <a:blip xmlns:r="http://schemas.openxmlformats.org/officeDocument/2006/relationships" r:embed="rId1018"/>
            <a:stretch>
              <a:fillRect/>
            </a:stretch>
          </xdr:blipFill>
          <xdr:spPr>
            <a:xfrm>
              <a:off x="11424240" y="5574600"/>
              <a:ext cx="39240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27612</xdr:colOff>
      <xdr:row>40</xdr:row>
      <xdr:rowOff>32820</xdr:rowOff>
    </xdr:from>
    <xdr:to>
      <xdr:col>17</xdr:col>
      <xdr:colOff>119412</xdr:colOff>
      <xdr:row>40</xdr:row>
      <xdr:rowOff>162780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9">
          <xdr14:nvContentPartPr>
            <xdr14:cNvPr id="527" name="Ink 526">
              <a:extLst>
                <a:ext uri="{FF2B5EF4-FFF2-40B4-BE49-F238E27FC236}">
                  <a16:creationId xmlns:a16="http://schemas.microsoft.com/office/drawing/2014/main" id="{DA6E626D-5FB5-6493-6E2F-C9A88AC60CE3}"/>
                </a:ext>
                <a:ext uri="{147F2762-F138-4A5C-976F-8EAC2B608ADB}">
                  <a16:predDERef xmlns:a16="http://schemas.microsoft.com/office/drawing/2014/main" pred="{F91F30E9-AED7-0164-5737-D08D96F09FAF}"/>
                </a:ext>
              </a:extLst>
            </xdr14:cNvPr>
            <xdr14:cNvContentPartPr/>
          </xdr14:nvContentPartPr>
          <xdr14:nvPr macro=""/>
          <xdr14:xfrm>
            <a:off x="12399870" y="8431207"/>
            <a:ext cx="91800" cy="129960"/>
          </xdr14:xfrm>
        </xdr:contentPart>
      </mc:Choice>
      <mc:Fallback xmlns="">
        <xdr:pic>
          <xdr:nvPicPr>
            <xdr:cNvPr id="527" name="Ink 526">
              <a:extLst>
                <a:ext uri="{FF2B5EF4-FFF2-40B4-BE49-F238E27FC236}">
                  <a16:creationId xmlns:a16="http://schemas.microsoft.com/office/drawing/2014/main" id="{DA6E626D-5FB5-6493-6E2F-C9A88AC60CE3}"/>
                </a:ext>
                <a:ext uri="{147F2762-F138-4A5C-976F-8EAC2B608ADB}">
                  <a16:predDERef xmlns:a16="http://schemas.microsoft.com/office/drawing/2014/main" pred="{F91F30E9-AED7-0164-5737-D08D96F09FAF}"/>
                </a:ext>
              </a:extLst>
            </xdr:cNvPr>
            <xdr:cNvPicPr/>
          </xdr:nvPicPr>
          <xdr:blipFill>
            <a:blip xmlns:r="http://schemas.openxmlformats.org/officeDocument/2006/relationships" r:embed="rId1020"/>
            <a:stretch>
              <a:fillRect/>
            </a:stretch>
          </xdr:blipFill>
          <xdr:spPr>
            <a:xfrm>
              <a:off x="11464920" y="5546880"/>
              <a:ext cx="11304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126612</xdr:colOff>
      <xdr:row>40</xdr:row>
      <xdr:rowOff>86100</xdr:rowOff>
    </xdr:from>
    <xdr:to>
      <xdr:col>17</xdr:col>
      <xdr:colOff>165132</xdr:colOff>
      <xdr:row>41</xdr:row>
      <xdr:rowOff>19079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1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05233D64-F6DC-774A-AA15-31BF25631D32}"/>
                </a:ext>
                <a:ext uri="{147F2762-F138-4A5C-976F-8EAC2B608ADB}">
                  <a16:predDERef xmlns:a16="http://schemas.microsoft.com/office/drawing/2014/main" pred="{DA6E626D-5FB5-6493-6E2F-C9A88AC60CE3}"/>
                </a:ext>
              </a:extLst>
            </xdr14:cNvPr>
            <xdr14:cNvContentPartPr/>
          </xdr14:nvContentPartPr>
          <xdr14:nvPr macro=""/>
          <xdr14:xfrm>
            <a:off x="12498870" y="8484487"/>
            <a:ext cx="38520" cy="137818"/>
          </xdr14:xfrm>
        </xdr:contentPart>
      </mc:Choice>
      <mc:Fallback xmlns="">
        <xdr:pic>
          <xdr:nvPicPr>
            <xdr:cNvPr id="528" name="Ink 527">
              <a:extLst>
                <a:ext uri="{FF2B5EF4-FFF2-40B4-BE49-F238E27FC236}">
                  <a16:creationId xmlns:a16="http://schemas.microsoft.com/office/drawing/2014/main" id="{05233D64-F6DC-774A-AA15-31BF25631D32}"/>
                </a:ext>
                <a:ext uri="{147F2762-F138-4A5C-976F-8EAC2B608ADB}">
                  <a16:predDERef xmlns:a16="http://schemas.microsoft.com/office/drawing/2014/main" pred="{DA6E626D-5FB5-6493-6E2F-C9A88AC60CE3}"/>
                </a:ext>
              </a:extLst>
            </xdr:cNvPr>
            <xdr:cNvPicPr/>
          </xdr:nvPicPr>
          <xdr:blipFill>
            <a:blip xmlns:r="http://schemas.openxmlformats.org/officeDocument/2006/relationships" r:embed="rId1022"/>
            <a:stretch>
              <a:fillRect/>
            </a:stretch>
          </xdr:blipFill>
          <xdr:spPr>
            <a:xfrm>
              <a:off x="11563920" y="5600160"/>
              <a:ext cx="597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456792</xdr:colOff>
      <xdr:row>40</xdr:row>
      <xdr:rowOff>12660</xdr:rowOff>
    </xdr:from>
    <xdr:to>
      <xdr:col>16</xdr:col>
      <xdr:colOff>533472</xdr:colOff>
      <xdr:row>40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3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5D0E035F-A040-FA4F-E538-14F4120E9DA2}"/>
                </a:ext>
                <a:ext uri="{147F2762-F138-4A5C-976F-8EAC2B608ADB}">
                  <a16:predDERef xmlns:a16="http://schemas.microsoft.com/office/drawing/2014/main" pred="{05233D64-F6DC-774A-AA15-31BF25631D32}"/>
                </a:ext>
              </a:extLst>
            </xdr14:cNvPr>
            <xdr14:cNvContentPartPr/>
          </xdr14:nvContentPartPr>
          <xdr14:nvPr macro=""/>
          <xdr14:xfrm>
            <a:off x="12132598" y="8411047"/>
            <a:ext cx="76680" cy="166680"/>
          </xdr14:xfrm>
        </xdr:contentPart>
      </mc:Choice>
      <mc:Fallback xmlns="">
        <xdr:pic>
          <xdr:nvPicPr>
            <xdr:cNvPr id="529" name="Ink 528">
              <a:extLst>
                <a:ext uri="{FF2B5EF4-FFF2-40B4-BE49-F238E27FC236}">
                  <a16:creationId xmlns:a16="http://schemas.microsoft.com/office/drawing/2014/main" id="{5D0E035F-A040-FA4F-E538-14F4120E9DA2}"/>
                </a:ext>
                <a:ext uri="{147F2762-F138-4A5C-976F-8EAC2B608ADB}">
                  <a16:predDERef xmlns:a16="http://schemas.microsoft.com/office/drawing/2014/main" pred="{05233D64-F6DC-774A-AA15-31BF25631D32}"/>
                </a:ext>
              </a:extLst>
            </xdr:cNvPr>
            <xdr:cNvPicPr/>
          </xdr:nvPicPr>
          <xdr:blipFill>
            <a:blip xmlns:r="http://schemas.openxmlformats.org/officeDocument/2006/relationships" r:embed="rId1024"/>
            <a:stretch>
              <a:fillRect/>
            </a:stretch>
          </xdr:blipFill>
          <xdr:spPr>
            <a:xfrm>
              <a:off x="11246400" y="5526360"/>
              <a:ext cx="979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139212</xdr:colOff>
      <xdr:row>40</xdr:row>
      <xdr:rowOff>20220</xdr:rowOff>
    </xdr:from>
    <xdr:to>
      <xdr:col>17</xdr:col>
      <xdr:colOff>195372</xdr:colOff>
      <xdr:row>40</xdr:row>
      <xdr:rowOff>160260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5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E5B46559-9085-2A4B-E1A3-140239E9CF19}"/>
                </a:ext>
                <a:ext uri="{147F2762-F138-4A5C-976F-8EAC2B608ADB}">
                  <a16:predDERef xmlns:a16="http://schemas.microsoft.com/office/drawing/2014/main" pred="{5D0E035F-A040-FA4F-E538-14F4120E9DA2}"/>
                </a:ext>
              </a:extLst>
            </xdr14:cNvPr>
            <xdr14:cNvContentPartPr/>
          </xdr14:nvContentPartPr>
          <xdr14:nvPr macro=""/>
          <xdr14:xfrm>
            <a:off x="12511470" y="8418607"/>
            <a:ext cx="56160" cy="14004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E5B46559-9085-2A4B-E1A3-140239E9CF19}"/>
                </a:ext>
                <a:ext uri="{147F2762-F138-4A5C-976F-8EAC2B608ADB}">
                  <a16:predDERef xmlns:a16="http://schemas.microsoft.com/office/drawing/2014/main" pred="{5D0E035F-A040-FA4F-E538-14F4120E9DA2}"/>
                </a:ext>
              </a:extLst>
            </xdr:cNvPr>
            <xdr:cNvPicPr/>
          </xdr:nvPicPr>
          <xdr:blipFill>
            <a:blip xmlns:r="http://schemas.openxmlformats.org/officeDocument/2006/relationships" r:embed="rId1026"/>
            <a:stretch>
              <a:fillRect/>
            </a:stretch>
          </xdr:blipFill>
          <xdr:spPr>
            <a:xfrm>
              <a:off x="11576520" y="5533920"/>
              <a:ext cx="77400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210492</xdr:colOff>
      <xdr:row>39</xdr:row>
      <xdr:rowOff>185160</xdr:rowOff>
    </xdr:from>
    <xdr:to>
      <xdr:col>17</xdr:col>
      <xdr:colOff>276732</xdr:colOff>
      <xdr:row>40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7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668C1503-5A5E-8F53-0F63-5167020928F0}"/>
                </a:ext>
                <a:ext uri="{147F2762-F138-4A5C-976F-8EAC2B608ADB}">
                  <a16:predDERef xmlns:a16="http://schemas.microsoft.com/office/drawing/2014/main" pred="{E5B46559-9085-2A4B-E1A3-140239E9CF19}"/>
                </a:ext>
              </a:extLst>
            </xdr14:cNvPr>
            <xdr14:cNvContentPartPr/>
          </xdr14:nvContentPartPr>
          <xdr14:nvPr macro=""/>
          <xdr14:xfrm>
            <a:off x="12582750" y="8378708"/>
            <a:ext cx="66240" cy="57899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668C1503-5A5E-8F53-0F63-5167020928F0}"/>
                </a:ext>
                <a:ext uri="{147F2762-F138-4A5C-976F-8EAC2B608ADB}">
                  <a16:predDERef xmlns:a16="http://schemas.microsoft.com/office/drawing/2014/main" pred="{E5B46559-9085-2A4B-E1A3-140239E9CF19}"/>
                </a:ext>
              </a:extLst>
            </xdr:cNvPr>
            <xdr:cNvPicPr/>
          </xdr:nvPicPr>
          <xdr:blipFill>
            <a:blip xmlns:r="http://schemas.openxmlformats.org/officeDocument/2006/relationships" r:embed="rId1028"/>
            <a:stretch>
              <a:fillRect/>
            </a:stretch>
          </xdr:blipFill>
          <xdr:spPr>
            <a:xfrm>
              <a:off x="11647800" y="5508720"/>
              <a:ext cx="8748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12372</xdr:colOff>
      <xdr:row>37</xdr:row>
      <xdr:rowOff>78719</xdr:rowOff>
    </xdr:from>
    <xdr:to>
      <xdr:col>19</xdr:col>
      <xdr:colOff>48372</xdr:colOff>
      <xdr:row>37</xdr:row>
      <xdr:rowOff>133799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9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BC7F46B4-2025-C9A6-2C2D-6F51CD0230E1}"/>
                </a:ext>
                <a:ext uri="{147F2762-F138-4A5C-976F-8EAC2B608ADB}">
                  <a16:predDERef xmlns:a16="http://schemas.microsoft.com/office/drawing/2014/main" pred="{668C1503-5A5E-8F53-0F63-5167020928F0}"/>
                </a:ext>
              </a:extLst>
            </xdr14:cNvPr>
            <xdr14:cNvContentPartPr/>
          </xdr14:nvContentPartPr>
          <xdr14:nvPr macro=""/>
          <xdr14:xfrm>
            <a:off x="13777533" y="7862590"/>
            <a:ext cx="36000" cy="55080"/>
          </xdr14:xfrm>
        </xdr:contentPart>
      </mc:Choice>
      <mc:Fallback xmlns=""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BC7F46B4-2025-C9A6-2C2D-6F51CD0230E1}"/>
                </a:ext>
                <a:ext uri="{147F2762-F138-4A5C-976F-8EAC2B608ADB}">
                  <a16:predDERef xmlns:a16="http://schemas.microsoft.com/office/drawing/2014/main" pred="{668C1503-5A5E-8F53-0F63-5167020928F0}"/>
                </a:ext>
              </a:extLst>
            </xdr:cNvPr>
            <xdr:cNvPicPr/>
          </xdr:nvPicPr>
          <xdr:blipFill>
            <a:blip xmlns:r="http://schemas.openxmlformats.org/officeDocument/2006/relationships" r:embed="rId1030"/>
            <a:stretch>
              <a:fillRect/>
            </a:stretch>
          </xdr:blipFill>
          <xdr:spPr>
            <a:xfrm>
              <a:off x="12745080" y="5020920"/>
              <a:ext cx="572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235572</xdr:colOff>
      <xdr:row>36</xdr:row>
      <xdr:rowOff>32700</xdr:rowOff>
    </xdr:from>
    <xdr:to>
      <xdr:col>19</xdr:col>
      <xdr:colOff>309732</xdr:colOff>
      <xdr:row>37</xdr:row>
      <xdr:rowOff>1593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1">
          <xdr14:nvContentPartPr>
            <xdr14:cNvPr id="533" name="Ink 532">
              <a:extLst>
                <a:ext uri="{FF2B5EF4-FFF2-40B4-BE49-F238E27FC236}">
                  <a16:creationId xmlns:a16="http://schemas.microsoft.com/office/drawing/2014/main" id="{5AE6BA45-77ED-87CB-42E6-83C87F613C10}"/>
                </a:ext>
                <a:ext uri="{147F2762-F138-4A5C-976F-8EAC2B608ADB}">
                  <a16:predDERef xmlns:a16="http://schemas.microsoft.com/office/drawing/2014/main" pred="{BC7F46B4-2025-C9A6-2C2D-6F51CD0230E1}"/>
                </a:ext>
              </a:extLst>
            </xdr14:cNvPr>
            <xdr14:cNvContentPartPr/>
          </xdr14:nvContentPartPr>
          <xdr14:nvPr macro=""/>
          <xdr14:xfrm>
            <a:off x="14000733" y="7611732"/>
            <a:ext cx="74160" cy="173732"/>
          </xdr14:xfrm>
        </xdr:contentPart>
      </mc:Choice>
      <mc:Fallback xmlns="">
        <xdr:pic>
          <xdr:nvPicPr>
            <xdr:cNvPr id="533" name="Ink 532">
              <a:extLst>
                <a:ext uri="{FF2B5EF4-FFF2-40B4-BE49-F238E27FC236}">
                  <a16:creationId xmlns:a16="http://schemas.microsoft.com/office/drawing/2014/main" id="{5AE6BA45-77ED-87CB-42E6-83C87F613C10}"/>
                </a:ext>
                <a:ext uri="{147F2762-F138-4A5C-976F-8EAC2B608ADB}">
                  <a16:predDERef xmlns:a16="http://schemas.microsoft.com/office/drawing/2014/main" pred="{BC7F46B4-2025-C9A6-2C2D-6F51CD0230E1}"/>
                </a:ext>
              </a:extLst>
            </xdr:cNvPr>
            <xdr:cNvPicPr/>
          </xdr:nvPicPr>
          <xdr:blipFill>
            <a:blip xmlns:r="http://schemas.openxmlformats.org/officeDocument/2006/relationships" r:embed="rId1032"/>
            <a:stretch>
              <a:fillRect/>
            </a:stretch>
          </xdr:blipFill>
          <xdr:spPr>
            <a:xfrm>
              <a:off x="12968640" y="4784760"/>
              <a:ext cx="9540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362652</xdr:colOff>
      <xdr:row>36</xdr:row>
      <xdr:rowOff>25140</xdr:rowOff>
    </xdr:from>
    <xdr:to>
      <xdr:col>19</xdr:col>
      <xdr:colOff>451932</xdr:colOff>
      <xdr:row>36</xdr:row>
      <xdr:rowOff>150060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3">
          <xdr14:nvContentPartPr>
            <xdr14:cNvPr id="534" name="Ink 533">
              <a:extLst>
                <a:ext uri="{FF2B5EF4-FFF2-40B4-BE49-F238E27FC236}">
                  <a16:creationId xmlns:a16="http://schemas.microsoft.com/office/drawing/2014/main" id="{16A35A43-8543-C509-B4DC-12CCD9D97B41}"/>
                </a:ext>
                <a:ext uri="{147F2762-F138-4A5C-976F-8EAC2B608ADB}">
                  <a16:predDERef xmlns:a16="http://schemas.microsoft.com/office/drawing/2014/main" pred="{5AE6BA45-77ED-87CB-42E6-83C87F613C10}"/>
                </a:ext>
              </a:extLst>
            </xdr14:cNvPr>
            <xdr14:cNvContentPartPr/>
          </xdr14:nvContentPartPr>
          <xdr14:nvPr macro=""/>
          <xdr14:xfrm>
            <a:off x="14127813" y="7604172"/>
            <a:ext cx="89280" cy="124920"/>
          </xdr14:xfrm>
        </xdr:contentPart>
      </mc:Choice>
      <mc:Fallback xmlns="">
        <xdr:pic>
          <xdr:nvPicPr>
            <xdr:cNvPr id="534" name="Ink 533">
              <a:extLst>
                <a:ext uri="{FF2B5EF4-FFF2-40B4-BE49-F238E27FC236}">
                  <a16:creationId xmlns:a16="http://schemas.microsoft.com/office/drawing/2014/main" id="{16A35A43-8543-C509-B4DC-12CCD9D97B41}"/>
                </a:ext>
                <a:ext uri="{147F2762-F138-4A5C-976F-8EAC2B608ADB}">
                  <a16:predDERef xmlns:a16="http://schemas.microsoft.com/office/drawing/2014/main" pred="{5AE6BA45-77ED-87CB-42E6-83C87F613C10}"/>
                </a:ext>
              </a:extLst>
            </xdr:cNvPr>
            <xdr:cNvPicPr/>
          </xdr:nvPicPr>
          <xdr:blipFill>
            <a:blip xmlns:r="http://schemas.openxmlformats.org/officeDocument/2006/relationships" r:embed="rId1034"/>
            <a:stretch>
              <a:fillRect/>
            </a:stretch>
          </xdr:blipFill>
          <xdr:spPr>
            <a:xfrm>
              <a:off x="13095720" y="4777200"/>
              <a:ext cx="11052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451572</xdr:colOff>
      <xdr:row>36</xdr:row>
      <xdr:rowOff>88860</xdr:rowOff>
    </xdr:from>
    <xdr:to>
      <xdr:col>19</xdr:col>
      <xdr:colOff>510252</xdr:colOff>
      <xdr:row>37</xdr:row>
      <xdr:rowOff>15719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5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B8C02FB5-F928-EE54-E366-7A929B2DFCC2}"/>
                </a:ext>
                <a:ext uri="{147F2762-F138-4A5C-976F-8EAC2B608ADB}">
                  <a16:predDERef xmlns:a16="http://schemas.microsoft.com/office/drawing/2014/main" pred="{16A35A43-8543-C509-B4DC-12CCD9D97B41}"/>
                </a:ext>
              </a:extLst>
            </xdr14:cNvPr>
            <xdr14:cNvContentPartPr/>
          </xdr14:nvContentPartPr>
          <xdr14:nvPr macro=""/>
          <xdr14:xfrm>
            <a:off x="14216733" y="7667892"/>
            <a:ext cx="58680" cy="131698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B8C02FB5-F928-EE54-E366-7A929B2DFCC2}"/>
                </a:ext>
                <a:ext uri="{147F2762-F138-4A5C-976F-8EAC2B608ADB}">
                  <a16:predDERef xmlns:a16="http://schemas.microsoft.com/office/drawing/2014/main" pred="{16A35A43-8543-C509-B4DC-12CCD9D97B41}"/>
                </a:ext>
              </a:extLst>
            </xdr:cNvPr>
            <xdr:cNvPicPr/>
          </xdr:nvPicPr>
          <xdr:blipFill>
            <a:blip xmlns:r="http://schemas.openxmlformats.org/officeDocument/2006/relationships" r:embed="rId1036"/>
            <a:stretch>
              <a:fillRect/>
            </a:stretch>
          </xdr:blipFill>
          <xdr:spPr>
            <a:xfrm>
              <a:off x="13184640" y="4840560"/>
              <a:ext cx="79920" cy="13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217932</xdr:colOff>
      <xdr:row>36</xdr:row>
      <xdr:rowOff>167340</xdr:rowOff>
    </xdr:from>
    <xdr:to>
      <xdr:col>19</xdr:col>
      <xdr:colOff>487572</xdr:colOff>
      <xdr:row>37</xdr:row>
      <xdr:rowOff>20399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7">
          <xdr14:nvContentPartPr>
            <xdr14:cNvPr id="536" name="Ink 535">
              <a:extLst>
                <a:ext uri="{FF2B5EF4-FFF2-40B4-BE49-F238E27FC236}">
                  <a16:creationId xmlns:a16="http://schemas.microsoft.com/office/drawing/2014/main" id="{CC43A022-F37D-DE8B-980A-9DA9546259F1}"/>
                </a:ext>
                <a:ext uri="{147F2762-F138-4A5C-976F-8EAC2B608ADB}">
                  <a16:predDERef xmlns:a16="http://schemas.microsoft.com/office/drawing/2014/main" pred="{B8C02FB5-F928-EE54-E366-7A929B2DFCC2}"/>
                </a:ext>
              </a:extLst>
            </xdr14:cNvPr>
            <xdr14:cNvContentPartPr/>
          </xdr14:nvContentPartPr>
          <xdr14:nvPr macro=""/>
          <xdr14:xfrm>
            <a:off x="13983093" y="7746372"/>
            <a:ext cx="269640" cy="57898"/>
          </xdr14:xfrm>
        </xdr:contentPart>
      </mc:Choice>
      <mc:Fallback xmlns="">
        <xdr:pic>
          <xdr:nvPicPr>
            <xdr:cNvPr id="536" name="Ink 535">
              <a:extLst>
                <a:ext uri="{FF2B5EF4-FFF2-40B4-BE49-F238E27FC236}">
                  <a16:creationId xmlns:a16="http://schemas.microsoft.com/office/drawing/2014/main" id="{CC43A022-F37D-DE8B-980A-9DA9546259F1}"/>
                </a:ext>
                <a:ext uri="{147F2762-F138-4A5C-976F-8EAC2B608ADB}">
                  <a16:predDERef xmlns:a16="http://schemas.microsoft.com/office/drawing/2014/main" pred="{B8C02FB5-F928-EE54-E366-7A929B2DFCC2}"/>
                </a:ext>
              </a:extLst>
            </xdr:cNvPr>
            <xdr:cNvPicPr/>
          </xdr:nvPicPr>
          <xdr:blipFill>
            <a:blip xmlns:r="http://schemas.openxmlformats.org/officeDocument/2006/relationships" r:embed="rId1038"/>
            <a:stretch>
              <a:fillRect/>
            </a:stretch>
          </xdr:blipFill>
          <xdr:spPr>
            <a:xfrm>
              <a:off x="12951000" y="4919400"/>
              <a:ext cx="29088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251052</xdr:colOff>
      <xdr:row>37</xdr:row>
      <xdr:rowOff>55679</xdr:rowOff>
    </xdr:from>
    <xdr:to>
      <xdr:col>19</xdr:col>
      <xdr:colOff>317292</xdr:colOff>
      <xdr:row>38</xdr:row>
      <xdr:rowOff>20339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9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5036F926-4265-FCE9-AEAB-FE7C44D0D738}"/>
                </a:ext>
                <a:ext uri="{147F2762-F138-4A5C-976F-8EAC2B608ADB}">
                  <a16:predDERef xmlns:a16="http://schemas.microsoft.com/office/drawing/2014/main" pred="{CC43A022-F37D-DE8B-980A-9DA9546259F1}"/>
                </a:ext>
              </a:extLst>
            </xdr14:cNvPr>
            <xdr14:cNvContentPartPr/>
          </xdr14:nvContentPartPr>
          <xdr14:nvPr macro=""/>
          <xdr14:xfrm>
            <a:off x="14016213" y="7839550"/>
            <a:ext cx="66240" cy="169499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5036F926-4265-FCE9-AEAB-FE7C44D0D738}"/>
                </a:ext>
                <a:ext uri="{147F2762-F138-4A5C-976F-8EAC2B608ADB}">
                  <a16:predDERef xmlns:a16="http://schemas.microsoft.com/office/drawing/2014/main" pred="{CC43A022-F37D-DE8B-980A-9DA9546259F1}"/>
                </a:ext>
              </a:extLst>
            </xdr:cNvPr>
            <xdr:cNvPicPr/>
          </xdr:nvPicPr>
          <xdr:blipFill>
            <a:blip xmlns:r="http://schemas.openxmlformats.org/officeDocument/2006/relationships" r:embed="rId1040"/>
            <a:stretch>
              <a:fillRect/>
            </a:stretch>
          </xdr:blipFill>
          <xdr:spPr>
            <a:xfrm>
              <a:off x="12983760" y="4998240"/>
              <a:ext cx="87480" cy="17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380652</xdr:colOff>
      <xdr:row>37</xdr:row>
      <xdr:rowOff>45599</xdr:rowOff>
    </xdr:from>
    <xdr:to>
      <xdr:col>19</xdr:col>
      <xdr:colOff>449772</xdr:colOff>
      <xdr:row>37</xdr:row>
      <xdr:rowOff>183119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1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C192C52D-3831-C1A2-58CD-15D436B89DB3}"/>
                </a:ext>
                <a:ext uri="{147F2762-F138-4A5C-976F-8EAC2B608ADB}">
                  <a16:predDERef xmlns:a16="http://schemas.microsoft.com/office/drawing/2014/main" pred="{5036F926-4265-FCE9-AEAB-FE7C44D0D738}"/>
                </a:ext>
              </a:extLst>
            </xdr14:cNvPr>
            <xdr14:cNvContentPartPr/>
          </xdr14:nvContentPartPr>
          <xdr14:nvPr macro=""/>
          <xdr14:xfrm>
            <a:off x="14145813" y="7829470"/>
            <a:ext cx="69120" cy="13752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C192C52D-3831-C1A2-58CD-15D436B89DB3}"/>
                </a:ext>
                <a:ext uri="{147F2762-F138-4A5C-976F-8EAC2B608ADB}">
                  <a16:predDERef xmlns:a16="http://schemas.microsoft.com/office/drawing/2014/main" pred="{5036F926-4265-FCE9-AEAB-FE7C44D0D738}"/>
                </a:ext>
              </a:extLst>
            </xdr:cNvPr>
            <xdr:cNvPicPr/>
          </xdr:nvPicPr>
          <xdr:blipFill>
            <a:blip xmlns:r="http://schemas.openxmlformats.org/officeDocument/2006/relationships" r:embed="rId1042"/>
            <a:stretch>
              <a:fillRect/>
            </a:stretch>
          </xdr:blipFill>
          <xdr:spPr>
            <a:xfrm>
              <a:off x="13113360" y="4987800"/>
              <a:ext cx="9036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593772</xdr:colOff>
      <xdr:row>36</xdr:row>
      <xdr:rowOff>164820</xdr:rowOff>
    </xdr:from>
    <xdr:to>
      <xdr:col>20</xdr:col>
      <xdr:colOff>1342</xdr:colOff>
      <xdr:row>36</xdr:row>
      <xdr:rowOff>177780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3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B7BF6B11-8268-1CAB-D8AC-8ADD5FAC5554}"/>
                </a:ext>
                <a:ext uri="{147F2762-F138-4A5C-976F-8EAC2B608ADB}">
                  <a16:predDERef xmlns:a16="http://schemas.microsoft.com/office/drawing/2014/main" pred="{C192C52D-3831-C1A2-58CD-15D436B89DB3}"/>
                </a:ext>
              </a:extLst>
            </xdr14:cNvPr>
            <xdr14:cNvContentPartPr/>
          </xdr14:nvContentPartPr>
          <xdr14:nvPr macro=""/>
          <xdr14:xfrm>
            <a:off x="14358933" y="7743852"/>
            <a:ext cx="83845" cy="12960"/>
          </xdr14:xfrm>
        </xdr:contentPart>
      </mc:Choice>
      <mc:Fallback xmlns="">
        <xdr:pic>
          <xdr:nvPicPr>
            <xdr:cNvPr id="541" name="Ink 540">
              <a:extLst>
                <a:ext uri="{FF2B5EF4-FFF2-40B4-BE49-F238E27FC236}">
                  <a16:creationId xmlns:a16="http://schemas.microsoft.com/office/drawing/2014/main" id="{B7BF6B11-8268-1CAB-D8AC-8ADD5FAC5554}"/>
                </a:ext>
                <a:ext uri="{147F2762-F138-4A5C-976F-8EAC2B608ADB}">
                  <a16:predDERef xmlns:a16="http://schemas.microsoft.com/office/drawing/2014/main" pred="{C192C52D-3831-C1A2-58CD-15D436B89DB3}"/>
                </a:ext>
              </a:extLst>
            </xdr:cNvPr>
            <xdr:cNvPicPr/>
          </xdr:nvPicPr>
          <xdr:blipFill>
            <a:blip xmlns:r="http://schemas.openxmlformats.org/officeDocument/2006/relationships" r:embed="rId1044"/>
            <a:stretch>
              <a:fillRect/>
            </a:stretch>
          </xdr:blipFill>
          <xdr:spPr>
            <a:xfrm>
              <a:off x="13326840" y="4916880"/>
              <a:ext cx="648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596292</xdr:colOff>
      <xdr:row>37</xdr:row>
      <xdr:rowOff>2399</xdr:rowOff>
    </xdr:from>
    <xdr:to>
      <xdr:col>20</xdr:col>
      <xdr:colOff>3862</xdr:colOff>
      <xdr:row>37</xdr:row>
      <xdr:rowOff>20399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5">
          <xdr14:nvContentPartPr>
            <xdr14:cNvPr id="542" name="Ink 541">
              <a:extLst>
                <a:ext uri="{FF2B5EF4-FFF2-40B4-BE49-F238E27FC236}">
                  <a16:creationId xmlns:a16="http://schemas.microsoft.com/office/drawing/2014/main" id="{E9BB1ABF-BF9A-0EEF-00E0-8C1420B52E6B}"/>
                </a:ext>
                <a:ext uri="{147F2762-F138-4A5C-976F-8EAC2B608ADB}">
                  <a16:predDERef xmlns:a16="http://schemas.microsoft.com/office/drawing/2014/main" pred="{B7BF6B11-8268-1CAB-D8AC-8ADD5FAC5554}"/>
                </a:ext>
              </a:extLst>
            </xdr14:cNvPr>
            <xdr14:cNvContentPartPr/>
          </xdr14:nvContentPartPr>
          <xdr14:nvPr macro=""/>
          <xdr14:xfrm>
            <a:off x="14361453" y="7786270"/>
            <a:ext cx="83845" cy="18000"/>
          </xdr14:xfrm>
        </xdr:contentPart>
      </mc:Choice>
      <mc:Fallback xmlns="">
        <xdr:pic>
          <xdr:nvPicPr>
            <xdr:cNvPr id="542" name="Ink 541">
              <a:extLst>
                <a:ext uri="{FF2B5EF4-FFF2-40B4-BE49-F238E27FC236}">
                  <a16:creationId xmlns:a16="http://schemas.microsoft.com/office/drawing/2014/main" id="{E9BB1ABF-BF9A-0EEF-00E0-8C1420B52E6B}"/>
                </a:ext>
                <a:ext uri="{147F2762-F138-4A5C-976F-8EAC2B608ADB}">
                  <a16:predDERef xmlns:a16="http://schemas.microsoft.com/office/drawing/2014/main" pred="{B7BF6B11-8268-1CAB-D8AC-8ADD5FAC5554}"/>
                </a:ext>
              </a:extLst>
            </xdr:cNvPr>
            <xdr:cNvPicPr/>
          </xdr:nvPicPr>
          <xdr:blipFill>
            <a:blip xmlns:r="http://schemas.openxmlformats.org/officeDocument/2006/relationships" r:embed="rId1046"/>
            <a:stretch>
              <a:fillRect/>
            </a:stretch>
          </xdr:blipFill>
          <xdr:spPr>
            <a:xfrm>
              <a:off x="13329360" y="4944600"/>
              <a:ext cx="64800" cy="3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110157</xdr:colOff>
      <xdr:row>36</xdr:row>
      <xdr:rowOff>51123</xdr:rowOff>
    </xdr:from>
    <xdr:to>
      <xdr:col>20</xdr:col>
      <xdr:colOff>115917</xdr:colOff>
      <xdr:row>36</xdr:row>
      <xdr:rowOff>65163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7">
          <xdr14:nvContentPartPr>
            <xdr14:cNvPr id="543" name="Ink 542">
              <a:extLst>
                <a:ext uri="{FF2B5EF4-FFF2-40B4-BE49-F238E27FC236}">
                  <a16:creationId xmlns:a16="http://schemas.microsoft.com/office/drawing/2014/main" id="{173E65D6-BC33-BE74-8610-74784CBCA86B}"/>
                </a:ext>
                <a:ext uri="{147F2762-F138-4A5C-976F-8EAC2B608ADB}">
                  <a16:predDERef xmlns:a16="http://schemas.microsoft.com/office/drawing/2014/main" pred="{E9BB1ABF-BF9A-0EEF-00E0-8C1420B52E6B}"/>
                </a:ext>
              </a:extLst>
            </xdr14:cNvPr>
            <xdr14:cNvContentPartPr/>
          </xdr14:nvContentPartPr>
          <xdr14:nvPr macro=""/>
          <xdr14:xfrm>
            <a:off x="14571770" y="7630155"/>
            <a:ext cx="5760" cy="14040"/>
          </xdr14:xfrm>
        </xdr:contentPart>
      </mc:Choice>
      <mc:Fallback xmlns="">
        <xdr:pic>
          <xdr:nvPicPr>
            <xdr:cNvPr id="543" name="Ink 542">
              <a:extLst>
                <a:ext uri="{FF2B5EF4-FFF2-40B4-BE49-F238E27FC236}">
                  <a16:creationId xmlns:a16="http://schemas.microsoft.com/office/drawing/2014/main" id="{173E65D6-BC33-BE74-8610-74784CBCA86B}"/>
                </a:ext>
                <a:ext uri="{147F2762-F138-4A5C-976F-8EAC2B608ADB}">
                  <a16:predDERef xmlns:a16="http://schemas.microsoft.com/office/drawing/2014/main" pred="{E9BB1ABF-BF9A-0EEF-00E0-8C1420B52E6B}"/>
                </a:ext>
              </a:extLst>
            </xdr:cNvPr>
            <xdr:cNvPicPr/>
          </xdr:nvPicPr>
          <xdr:blipFill>
            <a:blip xmlns:r="http://schemas.openxmlformats.org/officeDocument/2006/relationships" r:embed="rId1048"/>
            <a:stretch>
              <a:fillRect/>
            </a:stretch>
          </xdr:blipFill>
          <xdr:spPr>
            <a:xfrm>
              <a:off x="13494600" y="4836960"/>
              <a:ext cx="270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299397</xdr:colOff>
      <xdr:row>36</xdr:row>
      <xdr:rowOff>52083</xdr:rowOff>
    </xdr:from>
    <xdr:to>
      <xdr:col>20</xdr:col>
      <xdr:colOff>318837</xdr:colOff>
      <xdr:row>36</xdr:row>
      <xdr:rowOff>76923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9">
          <xdr14:nvContentPartPr>
            <xdr14:cNvPr id="544" name="Ink 543">
              <a:extLst>
                <a:ext uri="{FF2B5EF4-FFF2-40B4-BE49-F238E27FC236}">
                  <a16:creationId xmlns:a16="http://schemas.microsoft.com/office/drawing/2014/main" id="{8324D8B8-4590-EACC-536C-1BC640C18BA4}"/>
                </a:ext>
                <a:ext uri="{147F2762-F138-4A5C-976F-8EAC2B608ADB}">
                  <a16:predDERef xmlns:a16="http://schemas.microsoft.com/office/drawing/2014/main" pred="{173E65D6-BC33-BE74-8610-74784CBCA86B}"/>
                </a:ext>
              </a:extLst>
            </xdr14:cNvPr>
            <xdr14:cNvContentPartPr/>
          </xdr14:nvContentPartPr>
          <xdr14:nvPr macro=""/>
          <xdr14:xfrm>
            <a:off x="14761010" y="7631115"/>
            <a:ext cx="19440" cy="24840"/>
          </xdr14:xfrm>
        </xdr:contentPart>
      </mc:Choice>
      <mc:Fallback xmlns="">
        <xdr:pic>
          <xdr:nvPicPr>
            <xdr:cNvPr id="544" name="Ink 543">
              <a:extLst>
                <a:ext uri="{FF2B5EF4-FFF2-40B4-BE49-F238E27FC236}">
                  <a16:creationId xmlns:a16="http://schemas.microsoft.com/office/drawing/2014/main" id="{8324D8B8-4590-EACC-536C-1BC640C18BA4}"/>
                </a:ext>
                <a:ext uri="{147F2762-F138-4A5C-976F-8EAC2B608ADB}">
                  <a16:predDERef xmlns:a16="http://schemas.microsoft.com/office/drawing/2014/main" pred="{173E65D6-BC33-BE74-8610-74784CBCA86B}"/>
                </a:ext>
              </a:extLst>
            </xdr:cNvPr>
            <xdr:cNvPicPr/>
          </xdr:nvPicPr>
          <xdr:blipFill>
            <a:blip xmlns:r="http://schemas.openxmlformats.org/officeDocument/2006/relationships" r:embed="rId1050"/>
            <a:stretch>
              <a:fillRect/>
            </a:stretch>
          </xdr:blipFill>
          <xdr:spPr>
            <a:xfrm>
              <a:off x="13680165" y="4804143"/>
              <a:ext cx="406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286077</xdr:colOff>
      <xdr:row>36</xdr:row>
      <xdr:rowOff>35883</xdr:rowOff>
    </xdr:from>
    <xdr:to>
      <xdr:col>20</xdr:col>
      <xdr:colOff>389037</xdr:colOff>
      <xdr:row>37</xdr:row>
      <xdr:rowOff>17191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1">
          <xdr14:nvContentPartPr>
            <xdr14:cNvPr id="545" name="Ink 544">
              <a:extLst>
                <a:ext uri="{FF2B5EF4-FFF2-40B4-BE49-F238E27FC236}">
                  <a16:creationId xmlns:a16="http://schemas.microsoft.com/office/drawing/2014/main" id="{747379EA-486B-676C-21E0-4F6C88A148DD}"/>
                </a:ext>
                <a:ext uri="{147F2762-F138-4A5C-976F-8EAC2B608ADB}">
                  <a16:predDERef xmlns:a16="http://schemas.microsoft.com/office/drawing/2014/main" pred="{8324D8B8-4590-EACC-536C-1BC640C18BA4}"/>
                </a:ext>
              </a:extLst>
            </xdr14:cNvPr>
            <xdr14:cNvContentPartPr/>
          </xdr14:nvContentPartPr>
          <xdr14:nvPr macro=""/>
          <xdr14:xfrm>
            <a:off x="14747690" y="7614915"/>
            <a:ext cx="102960" cy="186147"/>
          </xdr14:xfrm>
        </xdr:contentPart>
      </mc:Choice>
      <mc:Fallback xmlns="">
        <xdr:pic>
          <xdr:nvPicPr>
            <xdr:cNvPr id="545" name="Ink 544">
              <a:extLst>
                <a:ext uri="{FF2B5EF4-FFF2-40B4-BE49-F238E27FC236}">
                  <a16:creationId xmlns:a16="http://schemas.microsoft.com/office/drawing/2014/main" id="{747379EA-486B-676C-21E0-4F6C88A148DD}"/>
                </a:ext>
                <a:ext uri="{147F2762-F138-4A5C-976F-8EAC2B608ADB}">
                  <a16:predDERef xmlns:a16="http://schemas.microsoft.com/office/drawing/2014/main" pred="{8324D8B8-4590-EACC-536C-1BC640C18BA4}"/>
                </a:ext>
              </a:extLst>
            </xdr:cNvPr>
            <xdr:cNvPicPr/>
          </xdr:nvPicPr>
          <xdr:blipFill>
            <a:blip xmlns:r="http://schemas.openxmlformats.org/officeDocument/2006/relationships" r:embed="rId1052"/>
            <a:stretch>
              <a:fillRect/>
            </a:stretch>
          </xdr:blipFill>
          <xdr:spPr>
            <a:xfrm>
              <a:off x="13666485" y="4788024"/>
              <a:ext cx="124200" cy="1928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396597</xdr:colOff>
      <xdr:row>36</xdr:row>
      <xdr:rowOff>111483</xdr:rowOff>
    </xdr:from>
    <xdr:to>
      <xdr:col>20</xdr:col>
      <xdr:colOff>434757</xdr:colOff>
      <xdr:row>37</xdr:row>
      <xdr:rowOff>9271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3">
          <xdr14:nvContentPartPr>
            <xdr14:cNvPr id="546" name="Ink 545">
              <a:extLst>
                <a:ext uri="{FF2B5EF4-FFF2-40B4-BE49-F238E27FC236}">
                  <a16:creationId xmlns:a16="http://schemas.microsoft.com/office/drawing/2014/main" id="{B39BEE64-707E-8271-9B93-01972C603BE9}"/>
                </a:ext>
                <a:ext uri="{147F2762-F138-4A5C-976F-8EAC2B608ADB}">
                  <a16:predDERef xmlns:a16="http://schemas.microsoft.com/office/drawing/2014/main" pred="{747379EA-486B-676C-21E0-4F6C88A148DD}"/>
                </a:ext>
              </a:extLst>
            </xdr14:cNvPr>
            <xdr14:cNvContentPartPr/>
          </xdr14:nvContentPartPr>
          <xdr14:nvPr macro=""/>
          <xdr14:xfrm>
            <a:off x="14858210" y="7690515"/>
            <a:ext cx="38160" cy="102627"/>
          </xdr14:xfrm>
        </xdr:contentPart>
      </mc:Choice>
      <mc:Fallback xmlns="">
        <xdr:pic>
          <xdr:nvPicPr>
            <xdr:cNvPr id="546" name="Ink 545">
              <a:extLst>
                <a:ext uri="{FF2B5EF4-FFF2-40B4-BE49-F238E27FC236}">
                  <a16:creationId xmlns:a16="http://schemas.microsoft.com/office/drawing/2014/main" id="{B39BEE64-707E-8271-9B93-01972C603BE9}"/>
                </a:ext>
                <a:ext uri="{147F2762-F138-4A5C-976F-8EAC2B608ADB}">
                  <a16:predDERef xmlns:a16="http://schemas.microsoft.com/office/drawing/2014/main" pred="{747379EA-486B-676C-21E0-4F6C88A148DD}"/>
                </a:ext>
              </a:extLst>
            </xdr:cNvPr>
            <xdr:cNvPicPr/>
          </xdr:nvPicPr>
          <xdr:blipFill>
            <a:blip xmlns:r="http://schemas.openxmlformats.org/officeDocument/2006/relationships" r:embed="rId1054"/>
            <a:stretch>
              <a:fillRect/>
            </a:stretch>
          </xdr:blipFill>
          <xdr:spPr>
            <a:xfrm>
              <a:off x="13777365" y="4863700"/>
              <a:ext cx="59400" cy="1092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453477</xdr:colOff>
      <xdr:row>36</xdr:row>
      <xdr:rowOff>122643</xdr:rowOff>
    </xdr:from>
    <xdr:to>
      <xdr:col>21</xdr:col>
      <xdr:colOff>4009</xdr:colOff>
      <xdr:row>37</xdr:row>
      <xdr:rowOff>63271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5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6478F619-CBA8-753B-7067-5813DF66DEDA}"/>
                </a:ext>
                <a:ext uri="{147F2762-F138-4A5C-976F-8EAC2B608ADB}">
                  <a16:predDERef xmlns:a16="http://schemas.microsoft.com/office/drawing/2014/main" pred="{B39BEE64-707E-8271-9B93-01972C603BE9}"/>
                </a:ext>
              </a:extLst>
            </xdr14:cNvPr>
            <xdr14:cNvContentPartPr/>
          </xdr14:nvContentPartPr>
          <xdr14:nvPr macro=""/>
          <xdr14:xfrm>
            <a:off x="14915090" y="7701675"/>
            <a:ext cx="207757" cy="145467"/>
          </xdr14:xfrm>
        </xdr:contentPart>
      </mc:Choice>
      <mc:Fallback xmlns=""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6478F619-CBA8-753B-7067-5813DF66DEDA}"/>
                </a:ext>
                <a:ext uri="{147F2762-F138-4A5C-976F-8EAC2B608ADB}">
                  <a16:predDERef xmlns:a16="http://schemas.microsoft.com/office/drawing/2014/main" pred="{B39BEE64-707E-8271-9B93-01972C603BE9}"/>
                </a:ext>
              </a:extLst>
            </xdr:cNvPr>
            <xdr:cNvPicPr/>
          </xdr:nvPicPr>
          <xdr:blipFill>
            <a:blip xmlns:r="http://schemas.openxmlformats.org/officeDocument/2006/relationships" r:embed="rId1056"/>
            <a:stretch>
              <a:fillRect/>
            </a:stretch>
          </xdr:blipFill>
          <xdr:spPr>
            <a:xfrm>
              <a:off x="13833885" y="4874809"/>
              <a:ext cx="178200" cy="152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16377</xdr:colOff>
      <xdr:row>36</xdr:row>
      <xdr:rowOff>38763</xdr:rowOff>
    </xdr:from>
    <xdr:to>
      <xdr:col>21</xdr:col>
      <xdr:colOff>103137</xdr:colOff>
      <xdr:row>37</xdr:row>
      <xdr:rowOff>1351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7">
          <xdr14:nvContentPartPr>
            <xdr14:cNvPr id="548" name="Ink 547">
              <a:extLst>
                <a:ext uri="{FF2B5EF4-FFF2-40B4-BE49-F238E27FC236}">
                  <a16:creationId xmlns:a16="http://schemas.microsoft.com/office/drawing/2014/main" id="{1E6BDA26-0310-7F4F-6B1C-41A2B00D97E2}"/>
                </a:ext>
                <a:ext uri="{147F2762-F138-4A5C-976F-8EAC2B608ADB}">
                  <a16:predDERef xmlns:a16="http://schemas.microsoft.com/office/drawing/2014/main" pred="{6478F619-CBA8-753B-7067-5813DF66DEDA}"/>
                </a:ext>
              </a:extLst>
            </xdr14:cNvPr>
            <xdr14:cNvContentPartPr/>
          </xdr14:nvContentPartPr>
          <xdr14:nvPr macro=""/>
          <xdr14:xfrm>
            <a:off x="15174442" y="7617795"/>
            <a:ext cx="86760" cy="167427"/>
          </xdr14:xfrm>
        </xdr:contentPart>
      </mc:Choice>
      <mc:Fallback xmlns="">
        <xdr:pic>
          <xdr:nvPicPr>
            <xdr:cNvPr id="548" name="Ink 547">
              <a:extLst>
                <a:ext uri="{FF2B5EF4-FFF2-40B4-BE49-F238E27FC236}">
                  <a16:creationId xmlns:a16="http://schemas.microsoft.com/office/drawing/2014/main" id="{1E6BDA26-0310-7F4F-6B1C-41A2B00D97E2}"/>
                </a:ext>
                <a:ext uri="{147F2762-F138-4A5C-976F-8EAC2B608ADB}">
                  <a16:predDERef xmlns:a16="http://schemas.microsoft.com/office/drawing/2014/main" pred="{6478F619-CBA8-753B-7067-5813DF66DEDA}"/>
                </a:ext>
              </a:extLst>
            </xdr:cNvPr>
            <xdr:cNvPicPr/>
          </xdr:nvPicPr>
          <xdr:blipFill>
            <a:blip xmlns:r="http://schemas.openxmlformats.org/officeDocument/2006/relationships" r:embed="rId1058"/>
            <a:stretch>
              <a:fillRect/>
            </a:stretch>
          </xdr:blipFill>
          <xdr:spPr>
            <a:xfrm>
              <a:off x="14044845" y="4790557"/>
              <a:ext cx="108000" cy="174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113937</xdr:colOff>
      <xdr:row>36</xdr:row>
      <xdr:rowOff>122283</xdr:rowOff>
    </xdr:from>
    <xdr:to>
      <xdr:col>21</xdr:col>
      <xdr:colOff>167486</xdr:colOff>
      <xdr:row>37</xdr:row>
      <xdr:rowOff>49231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9">
          <xdr14:nvContentPartPr>
            <xdr14:cNvPr id="549" name="Ink 548">
              <a:extLst>
                <a:ext uri="{FF2B5EF4-FFF2-40B4-BE49-F238E27FC236}">
                  <a16:creationId xmlns:a16="http://schemas.microsoft.com/office/drawing/2014/main" id="{5A8B80EE-BC3D-58FC-6855-D860DEF23337}"/>
                </a:ext>
                <a:ext uri="{147F2762-F138-4A5C-976F-8EAC2B608ADB}">
                  <a16:predDERef xmlns:a16="http://schemas.microsoft.com/office/drawing/2014/main" pred="{1E6BDA26-0310-7F4F-6B1C-41A2B00D97E2}"/>
                </a:ext>
              </a:extLst>
            </xdr14:cNvPr>
            <xdr14:cNvContentPartPr/>
          </xdr14:nvContentPartPr>
          <xdr14:nvPr macro=""/>
          <xdr14:xfrm>
            <a:off x="15272002" y="7701315"/>
            <a:ext cx="53549" cy="131787"/>
          </xdr14:xfrm>
        </xdr:contentPart>
      </mc:Choice>
      <mc:Fallback xmlns="">
        <xdr:pic>
          <xdr:nvPicPr>
            <xdr:cNvPr id="549" name="Ink 548">
              <a:extLst>
                <a:ext uri="{FF2B5EF4-FFF2-40B4-BE49-F238E27FC236}">
                  <a16:creationId xmlns:a16="http://schemas.microsoft.com/office/drawing/2014/main" id="{5A8B80EE-BC3D-58FC-6855-D860DEF23337}"/>
                </a:ext>
                <a:ext uri="{147F2762-F138-4A5C-976F-8EAC2B608ADB}">
                  <a16:predDERef xmlns:a16="http://schemas.microsoft.com/office/drawing/2014/main" pred="{1E6BDA26-0310-7F4F-6B1C-41A2B00D97E2}"/>
                </a:ext>
              </a:extLst>
            </xdr:cNvPr>
            <xdr:cNvPicPr/>
          </xdr:nvPicPr>
          <xdr:blipFill>
            <a:blip xmlns:r="http://schemas.openxmlformats.org/officeDocument/2006/relationships" r:embed="rId1060"/>
            <a:stretch>
              <a:fillRect/>
            </a:stretch>
          </xdr:blipFill>
          <xdr:spPr>
            <a:xfrm>
              <a:off x="14142206" y="4874462"/>
              <a:ext cx="74472" cy="138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141912</xdr:colOff>
      <xdr:row>36</xdr:row>
      <xdr:rowOff>126660</xdr:rowOff>
    </xdr:from>
    <xdr:to>
      <xdr:col>20</xdr:col>
      <xdr:colOff>220752</xdr:colOff>
      <xdr:row>36</xdr:row>
      <xdr:rowOff>142140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1">
          <xdr14:nvContentPartPr>
            <xdr14:cNvPr id="576" name="Ink 575">
              <a:extLst>
                <a:ext uri="{FF2B5EF4-FFF2-40B4-BE49-F238E27FC236}">
                  <a16:creationId xmlns:a16="http://schemas.microsoft.com/office/drawing/2014/main" id="{A7145418-82CB-AB3C-C5FF-A0865404265E}"/>
                </a:ext>
                <a:ext uri="{147F2762-F138-4A5C-976F-8EAC2B608ADB}">
                  <a16:predDERef xmlns:a16="http://schemas.microsoft.com/office/drawing/2014/main" pred="{81EE93B3-EC46-7CBF-4C0A-1E0EAA2CB4B7}"/>
                </a:ext>
              </a:extLst>
            </xdr14:cNvPr>
            <xdr14:cNvContentPartPr/>
          </xdr14:nvContentPartPr>
          <xdr14:nvPr macro=""/>
          <xdr14:xfrm>
            <a:off x="14603525" y="7705692"/>
            <a:ext cx="78840" cy="15480"/>
          </xdr14:xfrm>
        </xdr:contentPart>
      </mc:Choice>
      <mc:Fallback xmlns="">
        <xdr:pic>
          <xdr:nvPicPr>
            <xdr:cNvPr id="576" name="Ink 575">
              <a:extLst>
                <a:ext uri="{FF2B5EF4-FFF2-40B4-BE49-F238E27FC236}">
                  <a16:creationId xmlns:a16="http://schemas.microsoft.com/office/drawing/2014/main" id="{A7145418-82CB-AB3C-C5FF-A0865404265E}"/>
                </a:ext>
                <a:ext uri="{147F2762-F138-4A5C-976F-8EAC2B608ADB}">
                  <a16:predDERef xmlns:a16="http://schemas.microsoft.com/office/drawing/2014/main" pred="{81EE93B3-EC46-7CBF-4C0A-1E0EAA2CB4B7}"/>
                </a:ext>
              </a:extLst>
            </xdr:cNvPr>
            <xdr:cNvPicPr/>
          </xdr:nvPicPr>
          <xdr:blipFill>
            <a:blip xmlns:r="http://schemas.openxmlformats.org/officeDocument/2006/relationships" r:embed="rId1062"/>
            <a:stretch>
              <a:fillRect/>
            </a:stretch>
          </xdr:blipFill>
          <xdr:spPr>
            <a:xfrm>
              <a:off x="13522680" y="4878720"/>
              <a:ext cx="10008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131472</xdr:colOff>
      <xdr:row>37</xdr:row>
      <xdr:rowOff>35159</xdr:rowOff>
    </xdr:from>
    <xdr:to>
      <xdr:col>21</xdr:col>
      <xdr:colOff>227346</xdr:colOff>
      <xdr:row>37</xdr:row>
      <xdr:rowOff>68999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3">
          <xdr14:nvContentPartPr>
            <xdr14:cNvPr id="577" name="Ink 576">
              <a:extLst>
                <a:ext uri="{FF2B5EF4-FFF2-40B4-BE49-F238E27FC236}">
                  <a16:creationId xmlns:a16="http://schemas.microsoft.com/office/drawing/2014/main" id="{4317A8EB-8DBB-5823-C3E0-467E317BB536}"/>
                </a:ext>
                <a:ext uri="{147F2762-F138-4A5C-976F-8EAC2B608ADB}">
                  <a16:predDERef xmlns:a16="http://schemas.microsoft.com/office/drawing/2014/main" pred="{A7145418-82CB-AB3C-C5FF-A0865404265E}"/>
                </a:ext>
              </a:extLst>
            </xdr14:cNvPr>
            <xdr14:cNvContentPartPr/>
          </xdr14:nvContentPartPr>
          <xdr14:nvPr macro=""/>
          <xdr14:xfrm>
            <a:off x="14593085" y="7819030"/>
            <a:ext cx="792326" cy="33840"/>
          </xdr14:xfrm>
        </xdr:contentPart>
      </mc:Choice>
      <mc:Fallback xmlns="">
        <xdr:pic>
          <xdr:nvPicPr>
            <xdr:cNvPr id="577" name="Ink 576">
              <a:extLst>
                <a:ext uri="{FF2B5EF4-FFF2-40B4-BE49-F238E27FC236}">
                  <a16:creationId xmlns:a16="http://schemas.microsoft.com/office/drawing/2014/main" id="{4317A8EB-8DBB-5823-C3E0-467E317BB536}"/>
                </a:ext>
                <a:ext uri="{147F2762-F138-4A5C-976F-8EAC2B608ADB}">
                  <a16:predDERef xmlns:a16="http://schemas.microsoft.com/office/drawing/2014/main" pred="{A7145418-82CB-AB3C-C5FF-A0865404265E}"/>
                </a:ext>
              </a:extLst>
            </xdr:cNvPr>
            <xdr:cNvPicPr/>
          </xdr:nvPicPr>
          <xdr:blipFill>
            <a:blip xmlns:r="http://schemas.openxmlformats.org/officeDocument/2006/relationships" r:embed="rId1064"/>
            <a:stretch>
              <a:fillRect/>
            </a:stretch>
          </xdr:blipFill>
          <xdr:spPr>
            <a:xfrm>
              <a:off x="13512240" y="4977360"/>
              <a:ext cx="77328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296712</xdr:colOff>
      <xdr:row>37</xdr:row>
      <xdr:rowOff>134519</xdr:rowOff>
    </xdr:from>
    <xdr:to>
      <xdr:col>20</xdr:col>
      <xdr:colOff>389952</xdr:colOff>
      <xdr:row>38</xdr:row>
      <xdr:rowOff>90539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5">
          <xdr14:nvContentPartPr>
            <xdr14:cNvPr id="578" name="Ink 577">
              <a:extLst>
                <a:ext uri="{FF2B5EF4-FFF2-40B4-BE49-F238E27FC236}">
                  <a16:creationId xmlns:a16="http://schemas.microsoft.com/office/drawing/2014/main" id="{5768D7D5-A2A9-218F-AC73-7E96A3FEEC20}"/>
                </a:ext>
                <a:ext uri="{147F2762-F138-4A5C-976F-8EAC2B608ADB}">
                  <a16:predDERef xmlns:a16="http://schemas.microsoft.com/office/drawing/2014/main" pred="{4317A8EB-8DBB-5823-C3E0-467E317BB536}"/>
                </a:ext>
              </a:extLst>
            </xdr14:cNvPr>
            <xdr14:cNvContentPartPr/>
          </xdr14:nvContentPartPr>
          <xdr14:nvPr macro=""/>
          <xdr14:xfrm>
            <a:off x="14758325" y="7918390"/>
            <a:ext cx="93240" cy="160859"/>
          </xdr14:xfrm>
        </xdr:contentPart>
      </mc:Choice>
      <mc:Fallback xmlns="">
        <xdr:pic>
          <xdr:nvPicPr>
            <xdr:cNvPr id="578" name="Ink 577">
              <a:extLst>
                <a:ext uri="{FF2B5EF4-FFF2-40B4-BE49-F238E27FC236}">
                  <a16:creationId xmlns:a16="http://schemas.microsoft.com/office/drawing/2014/main" id="{5768D7D5-A2A9-218F-AC73-7E96A3FEEC20}"/>
                </a:ext>
                <a:ext uri="{147F2762-F138-4A5C-976F-8EAC2B608ADB}">
                  <a16:predDERef xmlns:a16="http://schemas.microsoft.com/office/drawing/2014/main" pred="{4317A8EB-8DBB-5823-C3E0-467E317BB536}"/>
                </a:ext>
              </a:extLst>
            </xdr:cNvPr>
            <xdr:cNvPicPr/>
          </xdr:nvPicPr>
          <xdr:blipFill>
            <a:blip xmlns:r="http://schemas.openxmlformats.org/officeDocument/2006/relationships" r:embed="rId1066"/>
            <a:stretch>
              <a:fillRect/>
            </a:stretch>
          </xdr:blipFill>
          <xdr:spPr>
            <a:xfrm>
              <a:off x="13677120" y="5076720"/>
              <a:ext cx="1144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398232</xdr:colOff>
      <xdr:row>38</xdr:row>
      <xdr:rowOff>4859</xdr:rowOff>
    </xdr:from>
    <xdr:to>
      <xdr:col>20</xdr:col>
      <xdr:colOff>474912</xdr:colOff>
      <xdr:row>38</xdr:row>
      <xdr:rowOff>7739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7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B299C804-19C9-DA2B-7217-7E055CD23871}"/>
                </a:ext>
                <a:ext uri="{147F2762-F138-4A5C-976F-8EAC2B608ADB}">
                  <a16:predDERef xmlns:a16="http://schemas.microsoft.com/office/drawing/2014/main" pred="{5768D7D5-A2A9-218F-AC73-7E96A3FEEC20}"/>
                </a:ext>
              </a:extLst>
            </xdr14:cNvPr>
            <xdr14:cNvContentPartPr/>
          </xdr14:nvContentPartPr>
          <xdr14:nvPr macro=""/>
          <xdr14:xfrm>
            <a:off x="14859845" y="7993569"/>
            <a:ext cx="76680" cy="288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B299C804-19C9-DA2B-7217-7E055CD23871}"/>
                </a:ext>
                <a:ext uri="{147F2762-F138-4A5C-976F-8EAC2B608ADB}">
                  <a16:predDERef xmlns:a16="http://schemas.microsoft.com/office/drawing/2014/main" pred="{5768D7D5-A2A9-218F-AC73-7E96A3FEEC20}"/>
                </a:ext>
              </a:extLst>
            </xdr:cNvPr>
            <xdr:cNvPicPr/>
          </xdr:nvPicPr>
          <xdr:blipFill>
            <a:blip xmlns:r="http://schemas.openxmlformats.org/officeDocument/2006/relationships" r:embed="rId1068"/>
            <a:stretch>
              <a:fillRect/>
            </a:stretch>
          </xdr:blipFill>
          <xdr:spPr>
            <a:xfrm>
              <a:off x="13779000" y="5137920"/>
              <a:ext cx="97920" cy="2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446472</xdr:colOff>
      <xdr:row>37</xdr:row>
      <xdr:rowOff>175199</xdr:rowOff>
    </xdr:from>
    <xdr:to>
      <xdr:col>20</xdr:col>
      <xdr:colOff>466992</xdr:colOff>
      <xdr:row>38</xdr:row>
      <xdr:rowOff>58859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9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E56F73F3-A463-EDAF-F3A2-AD982844663E}"/>
                </a:ext>
                <a:ext uri="{147F2762-F138-4A5C-976F-8EAC2B608ADB}">
                  <a16:predDERef xmlns:a16="http://schemas.microsoft.com/office/drawing/2014/main" pred="{B299C804-19C9-DA2B-7217-7E055CD23871}"/>
                </a:ext>
              </a:extLst>
            </xdr14:cNvPr>
            <xdr14:cNvContentPartPr/>
          </xdr14:nvContentPartPr>
          <xdr14:nvPr macro=""/>
          <xdr14:xfrm>
            <a:off x="14908085" y="7959070"/>
            <a:ext cx="20520" cy="88499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E56F73F3-A463-EDAF-F3A2-AD982844663E}"/>
                </a:ext>
                <a:ext uri="{147F2762-F138-4A5C-976F-8EAC2B608ADB}">
                  <a16:predDERef xmlns:a16="http://schemas.microsoft.com/office/drawing/2014/main" pred="{B299C804-19C9-DA2B-7217-7E055CD23871}"/>
                </a:ext>
              </a:extLst>
            </xdr:cNvPr>
            <xdr:cNvPicPr/>
          </xdr:nvPicPr>
          <xdr:blipFill>
            <a:blip xmlns:r="http://schemas.openxmlformats.org/officeDocument/2006/relationships" r:embed="rId1070"/>
            <a:stretch>
              <a:fillRect/>
            </a:stretch>
          </xdr:blipFill>
          <xdr:spPr>
            <a:xfrm>
              <a:off x="13827240" y="5117400"/>
              <a:ext cx="417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520272</xdr:colOff>
      <xdr:row>37</xdr:row>
      <xdr:rowOff>117959</xdr:rowOff>
    </xdr:from>
    <xdr:to>
      <xdr:col>20</xdr:col>
      <xdr:colOff>599472</xdr:colOff>
      <xdr:row>38</xdr:row>
      <xdr:rowOff>81539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1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69620BC9-A0F7-71CC-707B-C2F13D7E07A2}"/>
                </a:ext>
                <a:ext uri="{147F2762-F138-4A5C-976F-8EAC2B608ADB}">
                  <a16:predDERef xmlns:a16="http://schemas.microsoft.com/office/drawing/2014/main" pred="{E56F73F3-A463-EDAF-F3A2-AD982844663E}"/>
                </a:ext>
              </a:extLst>
            </xdr14:cNvPr>
            <xdr14:cNvContentPartPr/>
          </xdr14:nvContentPartPr>
          <xdr14:nvPr macro=""/>
          <xdr14:xfrm>
            <a:off x="14981885" y="7901830"/>
            <a:ext cx="79200" cy="168419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69620BC9-A0F7-71CC-707B-C2F13D7E07A2}"/>
                </a:ext>
                <a:ext uri="{147F2762-F138-4A5C-976F-8EAC2B608ADB}">
                  <a16:predDERef xmlns:a16="http://schemas.microsoft.com/office/drawing/2014/main" pred="{E56F73F3-A463-EDAF-F3A2-AD982844663E}"/>
                </a:ext>
              </a:extLst>
            </xdr:cNvPr>
            <xdr:cNvPicPr/>
          </xdr:nvPicPr>
          <xdr:blipFill>
            <a:blip xmlns:r="http://schemas.openxmlformats.org/officeDocument/2006/relationships" r:embed="rId1072"/>
            <a:stretch>
              <a:fillRect/>
            </a:stretch>
          </xdr:blipFill>
          <xdr:spPr>
            <a:xfrm>
              <a:off x="13900680" y="5060160"/>
              <a:ext cx="10044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662984</xdr:colOff>
      <xdr:row>38</xdr:row>
      <xdr:rowOff>12419</xdr:rowOff>
    </xdr:from>
    <xdr:to>
      <xdr:col>21</xdr:col>
      <xdr:colOff>7572</xdr:colOff>
      <xdr:row>38</xdr:row>
      <xdr:rowOff>102779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3">
          <xdr14:nvContentPartPr>
            <xdr14:cNvPr id="582" name="Ink 581">
              <a:extLst>
                <a:ext uri="{FF2B5EF4-FFF2-40B4-BE49-F238E27FC236}">
                  <a16:creationId xmlns:a16="http://schemas.microsoft.com/office/drawing/2014/main" id="{1DF461E2-318A-4C26-B680-4CF449BD8AE8}"/>
                </a:ext>
                <a:ext uri="{147F2762-F138-4A5C-976F-8EAC2B608ADB}">
                  <a16:predDERef xmlns:a16="http://schemas.microsoft.com/office/drawing/2014/main" pred="{69620BC9-A0F7-71CC-707B-C2F13D7E07A2}"/>
                </a:ext>
              </a:extLst>
            </xdr14:cNvPr>
            <xdr14:cNvContentPartPr/>
          </xdr14:nvContentPartPr>
          <xdr14:nvPr macro=""/>
          <xdr14:xfrm>
            <a:off x="15124597" y="8001129"/>
            <a:ext cx="41040" cy="90360"/>
          </xdr14:xfrm>
        </xdr:contentPart>
      </mc:Choice>
      <mc:Fallback xmlns="">
        <xdr:pic>
          <xdr:nvPicPr>
            <xdr:cNvPr id="582" name="Ink 581">
              <a:extLst>
                <a:ext uri="{FF2B5EF4-FFF2-40B4-BE49-F238E27FC236}">
                  <a16:creationId xmlns:a16="http://schemas.microsoft.com/office/drawing/2014/main" id="{1DF461E2-318A-4C26-B680-4CF449BD8AE8}"/>
                </a:ext>
                <a:ext uri="{147F2762-F138-4A5C-976F-8EAC2B608ADB}">
                  <a16:predDERef xmlns:a16="http://schemas.microsoft.com/office/drawing/2014/main" pred="{69620BC9-A0F7-71CC-707B-C2F13D7E07A2}"/>
                </a:ext>
              </a:extLst>
            </xdr:cNvPr>
            <xdr:cNvPicPr/>
          </xdr:nvPicPr>
          <xdr:blipFill>
            <a:blip xmlns:r="http://schemas.openxmlformats.org/officeDocument/2006/relationships" r:embed="rId1074"/>
            <a:stretch>
              <a:fillRect/>
            </a:stretch>
          </xdr:blipFill>
          <xdr:spPr>
            <a:xfrm>
              <a:off x="13994640" y="5145480"/>
              <a:ext cx="6228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45372</xdr:colOff>
      <xdr:row>37</xdr:row>
      <xdr:rowOff>147119</xdr:rowOff>
    </xdr:from>
    <xdr:to>
      <xdr:col>21</xdr:col>
      <xdr:colOff>83892</xdr:colOff>
      <xdr:row>38</xdr:row>
      <xdr:rowOff>81539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5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A53C6EB0-308D-960E-C261-CEA2CEE08D1E}"/>
                </a:ext>
                <a:ext uri="{147F2762-F138-4A5C-976F-8EAC2B608ADB}">
                  <a16:predDERef xmlns:a16="http://schemas.microsoft.com/office/drawing/2014/main" pred="{1DF461E2-318A-4C26-B680-4CF449BD8AE8}"/>
                </a:ext>
              </a:extLst>
            </xdr14:cNvPr>
            <xdr14:cNvContentPartPr/>
          </xdr14:nvContentPartPr>
          <xdr14:nvPr macro=""/>
          <xdr14:xfrm>
            <a:off x="15203437" y="7930990"/>
            <a:ext cx="38520" cy="139259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A53C6EB0-308D-960E-C261-CEA2CEE08D1E}"/>
                </a:ext>
                <a:ext uri="{147F2762-F138-4A5C-976F-8EAC2B608ADB}">
                  <a16:predDERef xmlns:a16="http://schemas.microsoft.com/office/drawing/2014/main" pred="{1DF461E2-318A-4C26-B680-4CF449BD8AE8}"/>
                </a:ext>
              </a:extLst>
            </xdr:cNvPr>
            <xdr:cNvPicPr/>
          </xdr:nvPicPr>
          <xdr:blipFill>
            <a:blip xmlns:r="http://schemas.openxmlformats.org/officeDocument/2006/relationships" r:embed="rId1076"/>
            <a:stretch>
              <a:fillRect/>
            </a:stretch>
          </xdr:blipFill>
          <xdr:spPr>
            <a:xfrm>
              <a:off x="14073480" y="5089680"/>
              <a:ext cx="5976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233352</xdr:colOff>
      <xdr:row>37</xdr:row>
      <xdr:rowOff>108959</xdr:rowOff>
    </xdr:from>
    <xdr:to>
      <xdr:col>20</xdr:col>
      <xdr:colOff>322272</xdr:colOff>
      <xdr:row>38</xdr:row>
      <xdr:rowOff>86579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7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E79DAFFF-AB37-8159-6618-80F733DBAD3A}"/>
                </a:ext>
                <a:ext uri="{147F2762-F138-4A5C-976F-8EAC2B608ADB}">
                  <a16:predDERef xmlns:a16="http://schemas.microsoft.com/office/drawing/2014/main" pred="{A53C6EB0-308D-960E-C261-CEA2CEE08D1E}"/>
                </a:ext>
              </a:extLst>
            </xdr14:cNvPr>
            <xdr14:cNvContentPartPr/>
          </xdr14:nvContentPartPr>
          <xdr14:nvPr macro=""/>
          <xdr14:xfrm>
            <a:off x="14694965" y="7892830"/>
            <a:ext cx="88920" cy="182459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E79DAFFF-AB37-8159-6618-80F733DBAD3A}"/>
                </a:ext>
                <a:ext uri="{147F2762-F138-4A5C-976F-8EAC2B608ADB}">
                  <a16:predDERef xmlns:a16="http://schemas.microsoft.com/office/drawing/2014/main" pred="{A53C6EB0-308D-960E-C261-CEA2CEE08D1E}"/>
                </a:ext>
              </a:extLst>
            </xdr:cNvPr>
            <xdr:cNvPicPr/>
          </xdr:nvPicPr>
          <xdr:blipFill>
            <a:blip xmlns:r="http://schemas.openxmlformats.org/officeDocument/2006/relationships" r:embed="rId1078"/>
            <a:stretch>
              <a:fillRect/>
            </a:stretch>
          </xdr:blipFill>
          <xdr:spPr>
            <a:xfrm>
              <a:off x="13614120" y="5051520"/>
              <a:ext cx="11016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149412</xdr:colOff>
      <xdr:row>37</xdr:row>
      <xdr:rowOff>93839</xdr:rowOff>
    </xdr:from>
    <xdr:to>
      <xdr:col>21</xdr:col>
      <xdr:colOff>221052</xdr:colOff>
      <xdr:row>37</xdr:row>
      <xdr:rowOff>157559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9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E44E5394-D9B8-EBE9-70B3-12072B47AF22}"/>
                </a:ext>
                <a:ext uri="{147F2762-F138-4A5C-976F-8EAC2B608ADB}">
                  <a16:predDERef xmlns:a16="http://schemas.microsoft.com/office/drawing/2014/main" pred="{E79DAFFF-AB37-8159-6618-80F733DBAD3A}"/>
                </a:ext>
              </a:extLst>
            </xdr14:cNvPr>
            <xdr14:cNvContentPartPr/>
          </xdr14:nvContentPartPr>
          <xdr14:nvPr macro=""/>
          <xdr14:xfrm>
            <a:off x="15307477" y="7877710"/>
            <a:ext cx="71640" cy="63720"/>
          </xdr14:xfrm>
        </xdr:contentPart>
      </mc:Choice>
      <mc:Fallback xmlns=""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E44E5394-D9B8-EBE9-70B3-12072B47AF22}"/>
                </a:ext>
                <a:ext uri="{147F2762-F138-4A5C-976F-8EAC2B608ADB}">
                  <a16:predDERef xmlns:a16="http://schemas.microsoft.com/office/drawing/2014/main" pred="{E79DAFFF-AB37-8159-6618-80F733DBAD3A}"/>
                </a:ext>
              </a:extLst>
            </xdr:cNvPr>
            <xdr:cNvPicPr/>
          </xdr:nvPicPr>
          <xdr:blipFill>
            <a:blip xmlns:r="http://schemas.openxmlformats.org/officeDocument/2006/relationships" r:embed="rId1080"/>
            <a:stretch>
              <a:fillRect/>
            </a:stretch>
          </xdr:blipFill>
          <xdr:spPr>
            <a:xfrm>
              <a:off x="14177520" y="5036040"/>
              <a:ext cx="9288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123892</xdr:colOff>
      <xdr:row>41</xdr:row>
      <xdr:rowOff>123479</xdr:rowOff>
    </xdr:from>
    <xdr:to>
      <xdr:col>12</xdr:col>
      <xdr:colOff>267172</xdr:colOff>
      <xdr:row>42</xdr:row>
      <xdr:rowOff>92099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1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29C2246B-D87B-C2A8-9D61-54E372689608}"/>
                </a:ext>
                <a:ext uri="{147F2762-F138-4A5C-976F-8EAC2B608ADB}">
                  <a16:predDERef xmlns:a16="http://schemas.microsoft.com/office/drawing/2014/main" pred="{E44E5394-D9B8-EBE9-70B3-12072B47AF22}"/>
                </a:ext>
              </a:extLst>
            </xdr14:cNvPr>
            <xdr14:cNvContentPartPr/>
          </xdr14:nvContentPartPr>
          <xdr14:nvPr macro=""/>
          <xdr14:xfrm>
            <a:off x="8931957" y="8726705"/>
            <a:ext cx="143280" cy="173459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29C2246B-D87B-C2A8-9D61-54E372689608}"/>
                </a:ext>
                <a:ext uri="{147F2762-F138-4A5C-976F-8EAC2B608ADB}">
                  <a16:predDERef xmlns:a16="http://schemas.microsoft.com/office/drawing/2014/main" pred="{E44E5394-D9B8-EBE9-70B3-12072B47AF22}"/>
                </a:ext>
              </a:extLst>
            </xdr:cNvPr>
            <xdr:cNvPicPr/>
          </xdr:nvPicPr>
          <xdr:blipFill>
            <a:blip xmlns:r="http://schemas.openxmlformats.org/officeDocument/2006/relationships" r:embed="rId1082"/>
            <a:stretch>
              <a:fillRect/>
            </a:stretch>
          </xdr:blipFill>
          <xdr:spPr>
            <a:xfrm>
              <a:off x="8295120" y="5828040"/>
              <a:ext cx="1645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317572</xdr:colOff>
      <xdr:row>41</xdr:row>
      <xdr:rowOff>117359</xdr:rowOff>
    </xdr:from>
    <xdr:to>
      <xdr:col>12</xdr:col>
      <xdr:colOff>406852</xdr:colOff>
      <xdr:row>42</xdr:row>
      <xdr:rowOff>72659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3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71573CF6-420C-9416-3ED4-29A7D8D1DF53}"/>
                </a:ext>
                <a:ext uri="{147F2762-F138-4A5C-976F-8EAC2B608ADB}">
                  <a16:predDERef xmlns:a16="http://schemas.microsoft.com/office/drawing/2014/main" pred="{29C2246B-D87B-C2A8-9D61-54E372689608}"/>
                </a:ext>
              </a:extLst>
            </xdr14:cNvPr>
            <xdr14:cNvContentPartPr/>
          </xdr14:nvContentPartPr>
          <xdr14:nvPr macro=""/>
          <xdr14:xfrm>
            <a:off x="9125637" y="8720585"/>
            <a:ext cx="89280" cy="160139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71573CF6-420C-9416-3ED4-29A7D8D1DF53}"/>
                </a:ext>
                <a:ext uri="{147F2762-F138-4A5C-976F-8EAC2B608ADB}">
                  <a16:predDERef xmlns:a16="http://schemas.microsoft.com/office/drawing/2014/main" pred="{29C2246B-D87B-C2A8-9D61-54E372689608}"/>
                </a:ext>
              </a:extLst>
            </xdr:cNvPr>
            <xdr:cNvPicPr/>
          </xdr:nvPicPr>
          <xdr:blipFill>
            <a:blip xmlns:r="http://schemas.openxmlformats.org/officeDocument/2006/relationships" r:embed="rId1084"/>
            <a:stretch>
              <a:fillRect/>
            </a:stretch>
          </xdr:blipFill>
          <xdr:spPr>
            <a:xfrm>
              <a:off x="8488800" y="5821560"/>
              <a:ext cx="11052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416212</xdr:colOff>
      <xdr:row>42</xdr:row>
      <xdr:rowOff>9299</xdr:rowOff>
    </xdr:from>
    <xdr:to>
      <xdr:col>12</xdr:col>
      <xdr:colOff>467332</xdr:colOff>
      <xdr:row>42</xdr:row>
      <xdr:rowOff>136739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5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443F36CB-44C0-833F-6CBE-7B752167E047}"/>
                </a:ext>
                <a:ext uri="{147F2762-F138-4A5C-976F-8EAC2B608ADB}">
                  <a16:predDERef xmlns:a16="http://schemas.microsoft.com/office/drawing/2014/main" pred="{71573CF6-420C-9416-3ED4-29A7D8D1DF53}"/>
                </a:ext>
              </a:extLst>
            </xdr14:cNvPr>
            <xdr14:cNvContentPartPr/>
          </xdr14:nvContentPartPr>
          <xdr14:nvPr macro=""/>
          <xdr14:xfrm>
            <a:off x="9224277" y="8817364"/>
            <a:ext cx="51120" cy="12744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443F36CB-44C0-833F-6CBE-7B752167E047}"/>
                </a:ext>
                <a:ext uri="{147F2762-F138-4A5C-976F-8EAC2B608ADB}">
                  <a16:predDERef xmlns:a16="http://schemas.microsoft.com/office/drawing/2014/main" pred="{71573CF6-420C-9416-3ED4-29A7D8D1DF53}"/>
                </a:ext>
              </a:extLst>
            </xdr:cNvPr>
            <xdr:cNvPicPr/>
          </xdr:nvPicPr>
          <xdr:blipFill>
            <a:blip xmlns:r="http://schemas.openxmlformats.org/officeDocument/2006/relationships" r:embed="rId1086"/>
            <a:stretch>
              <a:fillRect/>
            </a:stretch>
          </xdr:blipFill>
          <xdr:spPr>
            <a:xfrm>
              <a:off x="8587080" y="5904360"/>
              <a:ext cx="7236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90412</xdr:colOff>
      <xdr:row>42</xdr:row>
      <xdr:rowOff>123779</xdr:rowOff>
    </xdr:from>
    <xdr:to>
      <xdr:col>12</xdr:col>
      <xdr:colOff>445012</xdr:colOff>
      <xdr:row>42</xdr:row>
      <xdr:rowOff>162299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7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BDEF6CA0-6760-243F-FE03-CE6A5B3E0CE1}"/>
                </a:ext>
                <a:ext uri="{147F2762-F138-4A5C-976F-8EAC2B608ADB}">
                  <a16:predDERef xmlns:a16="http://schemas.microsoft.com/office/drawing/2014/main" pred="{443F36CB-44C0-833F-6CBE-7B752167E047}"/>
                </a:ext>
              </a:extLst>
            </xdr14:cNvPr>
            <xdr14:cNvContentPartPr/>
          </xdr14:nvContentPartPr>
          <xdr14:nvPr macro=""/>
          <xdr14:xfrm>
            <a:off x="8898477" y="8931844"/>
            <a:ext cx="354600" cy="3852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BDEF6CA0-6760-243F-FE03-CE6A5B3E0CE1}"/>
                </a:ext>
                <a:ext uri="{147F2762-F138-4A5C-976F-8EAC2B608ADB}">
                  <a16:predDERef xmlns:a16="http://schemas.microsoft.com/office/drawing/2014/main" pred="{443F36CB-44C0-833F-6CBE-7B752167E047}"/>
                </a:ext>
              </a:extLst>
            </xdr:cNvPr>
            <xdr:cNvPicPr/>
          </xdr:nvPicPr>
          <xdr:blipFill>
            <a:blip xmlns:r="http://schemas.openxmlformats.org/officeDocument/2006/relationships" r:embed="rId1088"/>
            <a:stretch>
              <a:fillRect/>
            </a:stretch>
          </xdr:blipFill>
          <xdr:spPr>
            <a:xfrm>
              <a:off x="8261640" y="6018480"/>
              <a:ext cx="375840" cy="5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71660</xdr:colOff>
      <xdr:row>38</xdr:row>
      <xdr:rowOff>146221</xdr:rowOff>
    </xdr:from>
    <xdr:to>
      <xdr:col>13</xdr:col>
      <xdr:colOff>151220</xdr:colOff>
      <xdr:row>38</xdr:row>
      <xdr:rowOff>163141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9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5439DB51-CD6C-332D-C8E5-928E7311FAB0}"/>
                </a:ext>
                <a:ext uri="{147F2762-F138-4A5C-976F-8EAC2B608ADB}">
                  <a16:predDERef xmlns:a16="http://schemas.microsoft.com/office/drawing/2014/main" pred="{BDEF6CA0-6760-243F-FE03-CE6A5B3E0CE1}"/>
                </a:ext>
              </a:extLst>
            </xdr14:cNvPr>
            <xdr14:cNvContentPartPr/>
          </xdr14:nvContentPartPr>
          <xdr14:nvPr macro=""/>
          <xdr14:xfrm>
            <a:off x="9617144" y="8134931"/>
            <a:ext cx="79560" cy="1692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5439DB51-CD6C-332D-C8E5-928E7311FAB0}"/>
                </a:ext>
                <a:ext uri="{147F2762-F138-4A5C-976F-8EAC2B608ADB}">
                  <a16:predDERef xmlns:a16="http://schemas.microsoft.com/office/drawing/2014/main" pred="{BDEF6CA0-6760-243F-FE03-CE6A5B3E0CE1}"/>
                </a:ext>
              </a:extLst>
            </xdr:cNvPr>
            <xdr:cNvPicPr/>
          </xdr:nvPicPr>
          <xdr:blipFill>
            <a:blip xmlns:r="http://schemas.openxmlformats.org/officeDocument/2006/relationships" r:embed="rId1090"/>
            <a:stretch>
              <a:fillRect/>
            </a:stretch>
          </xdr:blipFill>
          <xdr:spPr>
            <a:xfrm>
              <a:off x="8900280" y="5324400"/>
              <a:ext cx="10080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84260</xdr:colOff>
      <xdr:row>39</xdr:row>
      <xdr:rowOff>12371</xdr:rowOff>
    </xdr:from>
    <xdr:to>
      <xdr:col>13</xdr:col>
      <xdr:colOff>151580</xdr:colOff>
      <xdr:row>39</xdr:row>
      <xdr:rowOff>29291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1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5FE73560-076B-7B81-681A-152BFA8FFB92}"/>
                </a:ext>
                <a:ext uri="{147F2762-F138-4A5C-976F-8EAC2B608ADB}">
                  <a16:predDERef xmlns:a16="http://schemas.microsoft.com/office/drawing/2014/main" pred="{5439DB51-CD6C-332D-C8E5-928E7311FAB0}"/>
                </a:ext>
              </a:extLst>
            </xdr14:cNvPr>
            <xdr14:cNvContentPartPr/>
          </xdr14:nvContentPartPr>
          <xdr14:nvPr macro=""/>
          <xdr14:xfrm>
            <a:off x="9629744" y="8205919"/>
            <a:ext cx="67320" cy="1692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5FE73560-076B-7B81-681A-152BFA8FFB92}"/>
                </a:ext>
                <a:ext uri="{147F2762-F138-4A5C-976F-8EAC2B608ADB}">
                  <a16:predDERef xmlns:a16="http://schemas.microsoft.com/office/drawing/2014/main" pred="{5439DB51-CD6C-332D-C8E5-928E7311FAB0}"/>
                </a:ext>
              </a:extLst>
            </xdr:cNvPr>
            <xdr:cNvPicPr/>
          </xdr:nvPicPr>
          <xdr:blipFill>
            <a:blip xmlns:r="http://schemas.openxmlformats.org/officeDocument/2006/relationships" r:embed="rId1092"/>
            <a:stretch>
              <a:fillRect/>
            </a:stretch>
          </xdr:blipFill>
          <xdr:spPr>
            <a:xfrm>
              <a:off x="8912520" y="5382360"/>
              <a:ext cx="8856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289617</xdr:colOff>
      <xdr:row>38</xdr:row>
      <xdr:rowOff>119031</xdr:rowOff>
    </xdr:from>
    <xdr:to>
      <xdr:col>13</xdr:col>
      <xdr:colOff>404457</xdr:colOff>
      <xdr:row>39</xdr:row>
      <xdr:rowOff>156412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3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19F549A2-330A-D997-44CB-0E35BA67640E}"/>
                </a:ext>
                <a:ext uri="{147F2762-F138-4A5C-976F-8EAC2B608ADB}">
                  <a16:predDERef xmlns:a16="http://schemas.microsoft.com/office/drawing/2014/main" pred="{5FE73560-076B-7B81-681A-152BFA8FFB92}"/>
                </a:ext>
              </a:extLst>
            </xdr14:cNvPr>
            <xdr14:cNvContentPartPr/>
          </xdr14:nvContentPartPr>
          <xdr14:nvPr macro=""/>
          <xdr14:xfrm>
            <a:off x="9835101" y="8107741"/>
            <a:ext cx="114840" cy="242219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19F549A2-330A-D997-44CB-0E35BA67640E}"/>
                </a:ext>
                <a:ext uri="{147F2762-F138-4A5C-976F-8EAC2B608ADB}">
                  <a16:predDERef xmlns:a16="http://schemas.microsoft.com/office/drawing/2014/main" pred="{5FE73560-076B-7B81-681A-152BFA8FFB92}"/>
                </a:ext>
              </a:extLst>
            </xdr:cNvPr>
            <xdr:cNvPicPr/>
          </xdr:nvPicPr>
          <xdr:blipFill>
            <a:blip xmlns:r="http://schemas.openxmlformats.org/officeDocument/2006/relationships" r:embed="rId1094"/>
            <a:stretch>
              <a:fillRect/>
            </a:stretch>
          </xdr:blipFill>
          <xdr:spPr>
            <a:xfrm>
              <a:off x="9126000" y="5227920"/>
              <a:ext cx="13608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413097</xdr:colOff>
      <xdr:row>39</xdr:row>
      <xdr:rowOff>30574</xdr:rowOff>
    </xdr:from>
    <xdr:to>
      <xdr:col>14</xdr:col>
      <xdr:colOff>870</xdr:colOff>
      <xdr:row>40</xdr:row>
      <xdr:rowOff>20794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5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F7B329AD-AAFC-598F-8422-27C6D4F68722}"/>
                </a:ext>
                <a:ext uri="{147F2762-F138-4A5C-976F-8EAC2B608ADB}">
                  <a16:predDERef xmlns:a16="http://schemas.microsoft.com/office/drawing/2014/main" pred="{19F549A2-330A-D997-44CB-0E35BA67640E}"/>
                </a:ext>
              </a:extLst>
            </xdr14:cNvPr>
            <xdr14:cNvContentPartPr/>
          </xdr14:nvContentPartPr>
          <xdr14:nvPr macro=""/>
          <xdr14:xfrm>
            <a:off x="9958581" y="8224122"/>
            <a:ext cx="251722" cy="195059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F7B329AD-AAFC-598F-8422-27C6D4F68722}"/>
                </a:ext>
                <a:ext uri="{147F2762-F138-4A5C-976F-8EAC2B608ADB}">
                  <a16:predDERef xmlns:a16="http://schemas.microsoft.com/office/drawing/2014/main" pred="{19F549A2-330A-D997-44CB-0E35BA67640E}"/>
                </a:ext>
              </a:extLst>
            </xdr:cNvPr>
            <xdr:cNvPicPr/>
          </xdr:nvPicPr>
          <xdr:blipFill>
            <a:blip xmlns:r="http://schemas.openxmlformats.org/officeDocument/2006/relationships" r:embed="rId1096"/>
            <a:stretch>
              <a:fillRect/>
            </a:stretch>
          </xdr:blipFill>
          <xdr:spPr>
            <a:xfrm>
              <a:off x="9249480" y="5329440"/>
              <a:ext cx="2772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532053</xdr:colOff>
      <xdr:row>39</xdr:row>
      <xdr:rowOff>154054</xdr:rowOff>
    </xdr:from>
    <xdr:to>
      <xdr:col>20</xdr:col>
      <xdr:colOff>1994</xdr:colOff>
      <xdr:row>39</xdr:row>
      <xdr:rowOff>176374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7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E75E110A-72C2-86D1-3D71-4358C90472CA}"/>
                </a:ext>
                <a:ext uri="{147F2762-F138-4A5C-976F-8EAC2B608ADB}">
                  <a16:predDERef xmlns:a16="http://schemas.microsoft.com/office/drawing/2014/main" pred="{F7B329AD-AAFC-598F-8422-27C6D4F68722}"/>
                </a:ext>
              </a:extLst>
            </xdr14:cNvPr>
            <xdr14:cNvContentPartPr/>
          </xdr14:nvContentPartPr>
          <xdr14:nvPr macro=""/>
          <xdr14:xfrm>
            <a:off x="14297214" y="8347602"/>
            <a:ext cx="114840" cy="2232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E75E110A-72C2-86D1-3D71-4358C90472CA}"/>
                </a:ext>
                <a:ext uri="{147F2762-F138-4A5C-976F-8EAC2B608ADB}">
                  <a16:predDERef xmlns:a16="http://schemas.microsoft.com/office/drawing/2014/main" pred="{F7B329AD-AAFC-598F-8422-27C6D4F68722}"/>
                </a:ext>
              </a:extLst>
            </xdr:cNvPr>
            <xdr:cNvPicPr/>
          </xdr:nvPicPr>
          <xdr:blipFill>
            <a:blip xmlns:r="http://schemas.openxmlformats.org/officeDocument/2006/relationships" r:embed="rId1098"/>
            <a:stretch>
              <a:fillRect/>
            </a:stretch>
          </xdr:blipFill>
          <xdr:spPr>
            <a:xfrm>
              <a:off x="13271400" y="5452920"/>
              <a:ext cx="13608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571653</xdr:colOff>
      <xdr:row>40</xdr:row>
      <xdr:rowOff>22036</xdr:rowOff>
    </xdr:from>
    <xdr:to>
      <xdr:col>20</xdr:col>
      <xdr:colOff>1469</xdr:colOff>
      <xdr:row>40</xdr:row>
      <xdr:rowOff>43996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9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52430FAE-DD94-6F9F-B6B6-0EF267F15B97}"/>
                </a:ext>
                <a:ext uri="{147F2762-F138-4A5C-976F-8EAC2B608ADB}">
                  <a16:predDERef xmlns:a16="http://schemas.microsoft.com/office/drawing/2014/main" pred="{E75E110A-72C2-86D1-3D71-4358C90472CA}"/>
                </a:ext>
              </a:extLst>
            </xdr14:cNvPr>
            <xdr14:cNvContentPartPr/>
          </xdr14:nvContentPartPr>
          <xdr14:nvPr macro=""/>
          <xdr14:xfrm>
            <a:off x="14336814" y="8420423"/>
            <a:ext cx="84240" cy="21960"/>
          </xdr14:xfrm>
        </xdr:contentPart>
      </mc:Choice>
      <mc:Fallback xmlns=""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52430FAE-DD94-6F9F-B6B6-0EF267F15B97}"/>
                </a:ext>
                <a:ext uri="{147F2762-F138-4A5C-976F-8EAC2B608ADB}">
                  <a16:predDERef xmlns:a16="http://schemas.microsoft.com/office/drawing/2014/main" pred="{E75E110A-72C2-86D1-3D71-4358C90472CA}"/>
                </a:ext>
              </a:extLst>
            </xdr:cNvPr>
            <xdr:cNvPicPr/>
          </xdr:nvPicPr>
          <xdr:blipFill>
            <a:blip xmlns:r="http://schemas.openxmlformats.org/officeDocument/2006/relationships" r:embed="rId1100"/>
            <a:stretch>
              <a:fillRect/>
            </a:stretch>
          </xdr:blipFill>
          <xdr:spPr>
            <a:xfrm>
              <a:off x="13311000" y="5510160"/>
              <a:ext cx="10548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568143</xdr:colOff>
      <xdr:row>42</xdr:row>
      <xdr:rowOff>167645</xdr:rowOff>
    </xdr:from>
    <xdr:to>
      <xdr:col>12</xdr:col>
      <xdr:colOff>626133</xdr:colOff>
      <xdr:row>43</xdr:row>
      <xdr:rowOff>13866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1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2A55275C-86F6-B361-7AAB-70F9A234628E}"/>
                </a:ext>
                <a:ext uri="{147F2762-F138-4A5C-976F-8EAC2B608ADB}">
                  <a16:predDERef xmlns:a16="http://schemas.microsoft.com/office/drawing/2014/main" pred="{52430FAE-DD94-6F9F-B6B6-0EF267F15B97}"/>
                </a:ext>
              </a:extLst>
            </xdr14:cNvPr>
            <xdr14:cNvContentPartPr/>
          </xdr14:nvContentPartPr>
          <xdr14:nvPr macro=""/>
          <xdr14:xfrm>
            <a:off x="9376208" y="8975710"/>
            <a:ext cx="77040" cy="51059"/>
          </xdr14:xfrm>
        </xdr:contentPart>
      </mc:Choice>
      <mc:Fallback xmlns=""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2A55275C-86F6-B361-7AAB-70F9A234628E}"/>
                </a:ext>
                <a:ext uri="{147F2762-F138-4A5C-976F-8EAC2B608ADB}">
                  <a16:predDERef xmlns:a16="http://schemas.microsoft.com/office/drawing/2014/main" pred="{52430FAE-DD94-6F9F-B6B6-0EF267F15B97}"/>
                </a:ext>
              </a:extLst>
            </xdr:cNvPr>
            <xdr:cNvPicPr/>
          </xdr:nvPicPr>
          <xdr:blipFill>
            <a:blip xmlns:r="http://schemas.openxmlformats.org/officeDocument/2006/relationships" r:embed="rId1102"/>
            <a:stretch>
              <a:fillRect/>
            </a:stretch>
          </xdr:blipFill>
          <xdr:spPr>
            <a:xfrm>
              <a:off x="8733240" y="6040080"/>
              <a:ext cx="982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586503</xdr:colOff>
      <xdr:row>43</xdr:row>
      <xdr:rowOff>47356</xdr:rowOff>
    </xdr:from>
    <xdr:to>
      <xdr:col>12</xdr:col>
      <xdr:colOff>626133</xdr:colOff>
      <xdr:row>43</xdr:row>
      <xdr:rowOff>58516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3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CA91F287-E5A1-7104-0C94-AB6DEDD6DB07}"/>
                </a:ext>
                <a:ext uri="{147F2762-F138-4A5C-976F-8EAC2B608ADB}">
                  <a16:predDERef xmlns:a16="http://schemas.microsoft.com/office/drawing/2014/main" pred="{2A55275C-86F6-B361-7AAB-70F9A234628E}"/>
                </a:ext>
              </a:extLst>
            </xdr14:cNvPr>
            <xdr14:cNvContentPartPr/>
          </xdr14:nvContentPartPr>
          <xdr14:nvPr macro=""/>
          <xdr14:xfrm>
            <a:off x="9394568" y="9060259"/>
            <a:ext cx="58680" cy="11160"/>
          </xdr14:xfrm>
        </xdr:contentPart>
      </mc:Choice>
      <mc:Fallback xmlns="">
        <xdr:pic>
          <xdr:nvPicPr>
            <xdr:cNvPr id="597" name="Ink 596">
              <a:extLst>
                <a:ext uri="{FF2B5EF4-FFF2-40B4-BE49-F238E27FC236}">
                  <a16:creationId xmlns:a16="http://schemas.microsoft.com/office/drawing/2014/main" id="{CA91F287-E5A1-7104-0C94-AB6DEDD6DB07}"/>
                </a:ext>
                <a:ext uri="{147F2762-F138-4A5C-976F-8EAC2B608ADB}">
                  <a16:predDERef xmlns:a16="http://schemas.microsoft.com/office/drawing/2014/main" pred="{2A55275C-86F6-B361-7AAB-70F9A234628E}"/>
                </a:ext>
              </a:extLst>
            </xdr:cNvPr>
            <xdr:cNvPicPr/>
          </xdr:nvPicPr>
          <xdr:blipFill>
            <a:blip xmlns:r="http://schemas.openxmlformats.org/officeDocument/2006/relationships" r:embed="rId1104"/>
            <a:stretch>
              <a:fillRect/>
            </a:stretch>
          </xdr:blipFill>
          <xdr:spPr>
            <a:xfrm>
              <a:off x="8751600" y="6109200"/>
              <a:ext cx="7992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115677</xdr:colOff>
      <xdr:row>41</xdr:row>
      <xdr:rowOff>149336</xdr:rowOff>
    </xdr:from>
    <xdr:to>
      <xdr:col>17</xdr:col>
      <xdr:colOff>214497</xdr:colOff>
      <xdr:row>45</xdr:row>
      <xdr:rowOff>139376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5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CF5093B3-168B-29B3-18C2-E8D52BA453D7}"/>
                </a:ext>
                <a:ext uri="{147F2762-F138-4A5C-976F-8EAC2B608ADB}">
                  <a16:predDERef xmlns:a16="http://schemas.microsoft.com/office/drawing/2014/main" pred="{CA91F287-E5A1-7104-0C94-AB6DEDD6DB07}"/>
                </a:ext>
              </a:extLst>
            </xdr14:cNvPr>
            <xdr14:cNvContentPartPr/>
          </xdr14:nvContentPartPr>
          <xdr14:nvPr macro=""/>
          <xdr14:xfrm>
            <a:off x="9661161" y="8752562"/>
            <a:ext cx="2925594" cy="809395"/>
          </xdr14:xfrm>
        </xdr:contentPart>
      </mc:Choice>
      <mc:Fallback xmlns=""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CF5093B3-168B-29B3-18C2-E8D52BA453D7}"/>
                </a:ext>
                <a:ext uri="{147F2762-F138-4A5C-976F-8EAC2B608ADB}">
                  <a16:predDERef xmlns:a16="http://schemas.microsoft.com/office/drawing/2014/main" pred="{CA91F287-E5A1-7104-0C94-AB6DEDD6DB07}"/>
                </a:ext>
              </a:extLst>
            </xdr:cNvPr>
            <xdr:cNvPicPr/>
          </xdr:nvPicPr>
          <xdr:blipFill>
            <a:blip xmlns:r="http://schemas.openxmlformats.org/officeDocument/2006/relationships" r:embed="rId1106"/>
            <a:stretch>
              <a:fillRect/>
            </a:stretch>
          </xdr:blipFill>
          <xdr:spPr>
            <a:xfrm>
              <a:off x="8941320" y="5832000"/>
              <a:ext cx="2977560" cy="77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517077</xdr:colOff>
      <xdr:row>43</xdr:row>
      <xdr:rowOff>32596</xdr:rowOff>
    </xdr:from>
    <xdr:to>
      <xdr:col>14</xdr:col>
      <xdr:colOff>3462</xdr:colOff>
      <xdr:row>44</xdr:row>
      <xdr:rowOff>6615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7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FCA57D5F-2B45-B9D3-F7CF-7B3F700ED36C}"/>
                </a:ext>
                <a:ext uri="{147F2762-F138-4A5C-976F-8EAC2B608ADB}">
                  <a16:predDERef xmlns:a16="http://schemas.microsoft.com/office/drawing/2014/main" pred="{CF5093B3-168B-29B3-18C2-E8D52BA453D7}"/>
                </a:ext>
              </a:extLst>
            </xdr14:cNvPr>
            <xdr14:cNvContentPartPr/>
          </xdr14:nvContentPartPr>
          <xdr14:nvPr macro=""/>
          <xdr14:xfrm>
            <a:off x="10062561" y="9045499"/>
            <a:ext cx="124560" cy="178858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FCA57D5F-2B45-B9D3-F7CF-7B3F700ED36C}"/>
                </a:ext>
                <a:ext uri="{147F2762-F138-4A5C-976F-8EAC2B608ADB}">
                  <a16:predDERef xmlns:a16="http://schemas.microsoft.com/office/drawing/2014/main" pred="{CF5093B3-168B-29B3-18C2-E8D52BA453D7}"/>
                </a:ext>
              </a:extLst>
            </xdr:cNvPr>
            <xdr:cNvPicPr/>
          </xdr:nvPicPr>
          <xdr:blipFill>
            <a:blip xmlns:r="http://schemas.openxmlformats.org/officeDocument/2006/relationships" r:embed="rId1108"/>
            <a:stretch>
              <a:fillRect/>
            </a:stretch>
          </xdr:blipFill>
          <xdr:spPr>
            <a:xfrm>
              <a:off x="9342720" y="6094800"/>
              <a:ext cx="14580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2529</xdr:colOff>
      <xdr:row>43</xdr:row>
      <xdr:rowOff>80116</xdr:rowOff>
    </xdr:from>
    <xdr:to>
      <xdr:col>14</xdr:col>
      <xdr:colOff>50409</xdr:colOff>
      <xdr:row>43</xdr:row>
      <xdr:rowOff>179116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9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13766A0B-DD5D-70F4-E46B-02D3012F35AA}"/>
                </a:ext>
                <a:ext uri="{147F2762-F138-4A5C-976F-8EAC2B608ADB}">
                  <a16:predDERef xmlns:a16="http://schemas.microsoft.com/office/drawing/2014/main" pred="{FCA57D5F-2B45-B9D3-F7CF-7B3F700ED36C}"/>
                </a:ext>
              </a:extLst>
            </xdr14:cNvPr>
            <xdr14:cNvContentPartPr/>
          </xdr14:nvContentPartPr>
          <xdr14:nvPr macro=""/>
          <xdr14:xfrm>
            <a:off x="10244464" y="9093019"/>
            <a:ext cx="47880" cy="99000"/>
          </xdr14:xfrm>
        </xdr:contentPart>
      </mc:Choice>
      <mc:Fallback xmlns=""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13766A0B-DD5D-70F4-E46B-02D3012F35AA}"/>
                </a:ext>
                <a:ext uri="{147F2762-F138-4A5C-976F-8EAC2B608ADB}">
                  <a16:predDERef xmlns:a16="http://schemas.microsoft.com/office/drawing/2014/main" pred="{FCA57D5F-2B45-B9D3-F7CF-7B3F700ED36C}"/>
                </a:ext>
              </a:extLst>
            </xdr:cNvPr>
            <xdr:cNvPicPr/>
          </xdr:nvPicPr>
          <xdr:blipFill>
            <a:blip xmlns:r="http://schemas.openxmlformats.org/officeDocument/2006/relationships" r:embed="rId1110"/>
            <a:stretch>
              <a:fillRect/>
            </a:stretch>
          </xdr:blipFill>
          <xdr:spPr>
            <a:xfrm>
              <a:off x="9474120" y="6141960"/>
              <a:ext cx="69120" cy="12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79209</xdr:colOff>
      <xdr:row>43</xdr:row>
      <xdr:rowOff>80116</xdr:rowOff>
    </xdr:from>
    <xdr:to>
      <xdr:col>14</xdr:col>
      <xdr:colOff>236529</xdr:colOff>
      <xdr:row>44</xdr:row>
      <xdr:rowOff>46935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1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8046CFB5-A9E7-ABB6-F25D-403BA86FC19F}"/>
                </a:ext>
                <a:ext uri="{147F2762-F138-4A5C-976F-8EAC2B608ADB}">
                  <a16:predDERef xmlns:a16="http://schemas.microsoft.com/office/drawing/2014/main" pred="{13766A0B-DD5D-70F4-E46B-02D3012F35AA}"/>
                </a:ext>
              </a:extLst>
            </xdr14:cNvPr>
            <xdr14:cNvContentPartPr/>
          </xdr14:nvContentPartPr>
          <xdr14:nvPr macro=""/>
          <xdr14:xfrm>
            <a:off x="10321144" y="9093019"/>
            <a:ext cx="157320" cy="171658"/>
          </xdr14:xfrm>
        </xdr:contentPart>
      </mc:Choice>
      <mc:Fallback xmlns=""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8046CFB5-A9E7-ABB6-F25D-403BA86FC19F}"/>
                </a:ext>
                <a:ext uri="{147F2762-F138-4A5C-976F-8EAC2B608ADB}">
                  <a16:predDERef xmlns:a16="http://schemas.microsoft.com/office/drawing/2014/main" pred="{13766A0B-DD5D-70F4-E46B-02D3012F35AA}"/>
                </a:ext>
              </a:extLst>
            </xdr:cNvPr>
            <xdr:cNvPicPr/>
          </xdr:nvPicPr>
          <xdr:blipFill>
            <a:blip xmlns:r="http://schemas.openxmlformats.org/officeDocument/2006/relationships" r:embed="rId1112"/>
            <a:stretch>
              <a:fillRect/>
            </a:stretch>
          </xdr:blipFill>
          <xdr:spPr>
            <a:xfrm>
              <a:off x="9550800" y="6141960"/>
              <a:ext cx="178560" cy="178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8:50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03.13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48 433 8070,'-6'4'-262,"-1"-1"-393,6 1 761,-8-4 551,8 0-124,-3 0-303,4-4-212,4-3 0,2-3 28,2-2 0,2 5-8,-1-1 1,1 2-10,-1-4 0,0 2-14,0 1 1,2 0-2,2 0 0,-2-2-10,5 1 0,-2 1-38,1-1 1,5-2 63,-2 3 0,1 2-43,3-3 1,-2 6 48,-2-2 0,1 3-48,0 1 0,-2 0 30,-1 0 1,-3 5-5,-3 1 0,2 4 60,0 1 0,-2 4 8,-4-1 1,-3 5-8,-1 0 1,2-4 105,0 4 0,-1-1-41,-3 3 1,0 2-73,0-2 1,-4 1 3,-3 0 0,-1 0 13,-2-1 0,2 1-1,-1-1 1,-3 1 5,0-1 1,1 0-7,-4 1 0,2-1 83,-3-3 1,0-1-82,-2-3 1,2-2 78,0 3 1,1-6-56,-4-3 0,1-3-106,-2 0 1,2-1 24,-1-2 1,4 0-15,-1 0 0,0-5 8,-2-2 1,3-3-20,2 0 0,3-5-113,2 0 0,-2-4 74,0 1 0,5-2-107,2 3 1,2-5 110,1 1 1,1-2-9,2-7 1,3 6 16,7-5 0,-1 0-3,7-4 0,-1 0-8,11 2 0,-3-4-1,5 2 1,-2-1-85,-1 5 0,4 2 94,-2 2 0,1 3-11,-7 4 1,2 6-152,-7 5 0,0 4-643,-7-1 110,1 4 187,-3 0 0,-5-1 16,-2-4 1,-1 3 42,1-5 0,-2-4 473,2-3 0,-2-49 0,-1-8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04.6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79 87 7974,'-6'0'-400,"-4"0"-604,9 0 1171,-9 0 544,8 0 1,-6 3-130,4-1-449,0 0 1,4 8-88,0-4 1,0 9 56,0 3 1,0 4 1,0 4 1,0 5 15,0 5 1,1 10-27,3 2 0,-3 2 32,3 3 1,-3-3-25,-1 3 0,-1-4-42,-3 2 0,3-8 44,-3 5 1,2-12-35,-2 0 1,2-3 23,-6-8 0,6 0 81,-2-7-139,3-2 1,-1-7 30,-1-2-109,1-2 1,-3-6 64,5-3 0,0 2-81,0-5 1,0 3 56,0-3 0,2-2-32,1-5 1,-1-3-23,1-6 1,0-3-108,1-2 0,-3-4 90,3-1 1,1-3-100,-2 0 1,1-6 98,-4 3 1,0-1-4,0 1 0,4-1 45,0-3 1,1-2-38,-2-2 1,-1 5 120,1-1 0,4 6-80,0 1 0,3 7 18,1-1 0,1 7-19,-1 0 1,0 7-7,0 6 1,0-1-27,1-1 0,-1 2-13,0 3 1,2 3-31,1 4 1,-2-4 54,3 0 0,-2 1 26,-2 3 0,4 1 28,0 2 0,0 3 8,-4 0 1,0 4-1,0-2 0,1 5 14,-1 1 1,-4 2 27,1-2 0,-4-1 166,3 1 0,-4 2-139,0-1 1,-1 2 125,-2-1 1,0 1-35,0-1 0,-5 1-120,-3-3 1,-2 6 1,-1-2 0,-2 1-26,-2 0 1,-1 1-118,-2-6 0,-4 1 97,4 0 1,-4-6-112,0 1 0,4-5-179,-1 2 1,4-4 60,-3 0 1,3-1-139,-4-2 1,5 0-84,-1 0 0,7-2-75,0-1 0,4-2-319,-3-3 831,4-2 0,3-5 0,7-8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05.8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192 172 7614,'0'-12'336,"0"0"1,4 0 39,-1-1 1,5 1-319,-4 0 1,3 0 63,-3-1 1,3 1-120,-3 0 0,1 3 142,-1 2-181,-3-2 56,4-3-160,-5 5 94,0 2 1,-5 5-76,-2 0 0,0 4-27,0 0 1,3 5 84,-3 0 0,0 2-112,0 1 0,-2 0 71,5 0 0,-3 1-12,3-1 0,0 0 84,4 0 0,-3 1 25,-1-1 0,0 0-41,4 0 120,0 6 1,1-4-47,3 3 1,-1-4 20,4 0 1,-3-1 46,3 0 1,0 0-51,0 1 1,3-2 79,-2-4 1,-2 4-59,1-2 0,-3-2 13,4 0 0,-5 1 130,5 0 1,-6 2-84,2-2 0,-3 0 103,-1-1 1,0-2 79,0 2-111,0 2 0,-1 2-114,-3-3 1,2 3-3,-6-3 1,5-2-29,-5-2 1,1 2 28,-5-3-87,1 1 0,0 1-192,0-1 0,-1-1-203,1-3 0,0 0 200,0 0 0,-1-3-341,1-1 0,0-1 66,0 5 0,0-4-81,-1 1 1,1-2 554,0 5 0,-10-5 0,-3-2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06.8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 35 7854,'-11'6'-268,"-1"-1"0,6-4 225,2 3 375,3-3 0,6 4-133,3-5 1,3 0-172,4 0 0,2 0-13,6 0 1,-1 0-114,1 0 0,0 0 92,4 0 1,-4-4-118,4 1 1,-5-5-189,-3 4 0,2-4 113,-2 0 0,-3 3-455,-1 1 653,-3-2 0,-20 5 0,-6-4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07.0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 45 7854,'-11'12'0,"3"-2"256,1-3-256,5 3-428,-3-9 1,13 4 181,3-5 0,9-3 348,3-1 1,1-5-103,6 2 0,25-23 0,9-7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10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2004 7856,'-4'11'-963,"1"-3"828,1-1 0,0-3 433,2 4 1,2 0-119,0 2 1,5 2 148,3-1 0,1 2-150,-1 2 0,4 3-90,-1 3 1,5 3-31,-4-3 1,4 3 33,-4-3 1,4 6-1,-1 0 0,-1-1 18,-2-4 1,-3-1-170,-1-2 84,5 2 1,-3-9 40,2-1 0,-5-1 121,-3-6-83,-4-1 1,6-4-53,-5-3 1,2-3 27,-5-8 1,3 0-114,0-8 1,4 2-17,-3-9 0,2-5-120,-2-6 0,4-4 49,-1 0 1,3-3-108,-1-6 0,3-7 82,-2-6 1,0-11-158,0-3 0,0-4 237,1 4 0,-4 0-28,1-1 1,-2-1 148,4 5 1,0 3-12,-3 11 0,2 3 77,-2 4 0,2-2-94,2 3 0,0-3-3,-1 7 1,-1 0-58,-2 0 1,2 4-6,-2-1 0,2 4 11,-3 4 1,3-2 189,-1 6 1,-3-4-247,2 3 1,-4 0 35,5 5 0,-6 1 0,1 2 1,2-1 27,-1 3 0,-2 6 5,-2 3 0,2 4 60,1-4 0,-1 6-63,1-2 0,-1 2 57,3 2 1,-5 4-45,4-1 128,-3 6-56,-1-8 14,0 8-50,0-3 5,0 5 735,0 0-743,0 5 0,1-3 31,3 1-41,-3-1 1,4-2 11,-1 0 0,-3 1 10,2 3 0,3-3-11,1 3 1,3-2 37,0 2 0,2-3-42,1 3 1,5 1 1,6-1 1,3 3-24,5-2 0,3 1-3,3-2 0,7 4 36,4-5 1,7 6-12,2-7 1,5 3 125,3-1 1,4-3-357,6 3 0,7-3 253,4-1 1,3-2-34,2-3 1,-47 1 0,1 0-3,2 3 1,-1 0 0,3-4-1,1 1-24,-1 2 1,0 1-1,2-2 1,-1 3-6,-3 0 0,1 0 0,0-3 0,1 1-16,0 0 1,0 0 0,3 0 0,1 1-131,-3 0 1,1 2-1,1-1 1,-2 0 130,-1 0 0,1 0 1,1 0-1,-1 0 9,3 0 0,1 0 1,1 0-1,2 0 11,-4 0 0,0 0 1,-2-2-1,1 1-13,-7-2 1,2 1 0,0 0 0,1 0 2,-1 2 1,1 0-1,1 0 1,0 0-4,-3 0 1,-1 0 0,42 0-232,-7 0 1,-2 0 250,0 0 0,-3 0-1,-6 0 0,-5 4-9,-7 1 1,-4-1-15,-2 0 1,-3-2 19,-7 6 0,-2-6-423,-10 2 0,-2-2 427,-4 3 0,-5-5 0,-3 4 0,3 2 0,1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16.0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75 363 7953,'-5'0'-1782,"-3"0"1852,2 0 177,1 0 0,2 0-87,6 0 0,-1-1 55,4-3 0,3 3-115,3-3 1,2-1 24,-1 2 1,-2 0-72,5 3 0,-1 0 43,3 0 1,-2 0-55,0 0 1,-2 0-48,1 0 0,2 0 13,-5 0 0,4 0 34,-3 0 0,-1 5-61,-3 1 0,0 0 49,1 2 0,-4-1 32,0 3 1,-4 2-5,2-1 1,-3 1 2,-1 3 1,-5-1 8,-1 4 0,-2-3 7,-2 3 0,1-3-19,0 2 0,-1-2 0,1 4 1,-3-5-3,0 0 1,-1-1-1,3 2 1,-2-3-47,0 3 0,0-6-21,2-3 1,0 0-11,-3 2 1,3-2-5,-2-2 0,1-3-13,2 3 0,0-3-52,-1-1 0,1-1 86,0-3 0,0-1-45,0-2 0,0-3 25,3 3 0,-3-4-81,4-4 0,-3 3 39,3-3 0,-3-1-6,4 2 0,-1-6-11,1 1 0,1-2-77,3-5 1,0 3 142,0-2 0,1-3-46,2 2 0,4 1 38,6 4 0,-2-2 9,8 2 1,-2-6 160,8 1 1,1 5-44,5 3 0,-1-1 59,4-2 0,0 3-126,3 3 1,-3 3 2,-3 1 1,1 0 8,-1 0 0,-1 1-107,-6 3 1,-2 1-636,-6 3 1,0 1 133,-3-1 560,-1-4 0,-19-13 0,-5-10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16.5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0 6689,'-5'6'-714,"4"4"714,-3-2 0,3 3 0,1 4 0,0 3 136,0 4 0,0 6 101,0 2 0,0 2 79,0 2 0,0 7-157,0 0 0,0 2 88,0-6 0,0-2-17,0 2 1,0-3-33,0-4 0,0-4-128,0-7 0,0-3 184,0-5-178,0 1-22,0-6 1,1-1-130,3-5 1,2-6 78,6-6 0,-1 0-5,0-7 0,5-4-58,3-7 1,2-3-149,2-1 1,-1 1-125,1-1 0,-1-3 113,1-1 0,-1-3-42,1 3 1,-6 1-204,-2 3 463,2 1 0,-9-6 0,2-1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17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214 79 7912,'3'-11'-566,"1"-1"0,4 5 482,-5-1 0,6 5 607,-1-5 1,-2 4-345,1-3 1,-3 4-153,4 0 0,-5 0-79,5-1 159,-6 3-87,8-4 29,-8 5 0,3 1-74,-5 3 1,-5-1 31,-3 4 0,-2-1-108,-1 2 1,0 2 83,-1-3 1,-3 3 1,0 2 0,0-1-11,4 0 0,-4 0 1,0 0 0,1-3-32,7-1 0,-3 1 40,3 3 0,-2 0-35,1 1 0,3-1 40,5 0 1,0 0-5,0 1 0,0-1 20,0 0 0,2-1 7,1-2 1,4 1 18,4-1 0,0 1 103,0-2 1,0 2 1,1-5 0,-1 3-104,0-3 1,0 3 198,1-3-106,-1 5 0,-1-7 9,-3 6 1,-2-4-10,-5 3 0,0-3 4,0 3 0,0-3-4,0 4 1,0-5 2,0 5 0,-5-4-179,-2 3 1,-3-3 89,-1 3 1,-1-3-251,1 4 0,-1-6 79,-3 2 0,2 1-58,-2-1 1,3-1-168,1-3 0,-1 0-459,1 0 817,-5 0 0,-17-30 0,-8-7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18.2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89 6073,'11'0'138,"3"0"0,2 0 44,6 0 1,2 0-47,4 0 0,12 4-113,6-2 1,4 1 191,6-3 1,3 0-55,3 0 1,2 0-62,-2 0 1,5 0-128,4 0 0,-4 0 102,-1 0 0,2-3-97,-2 1 1,1-6 93,-5 1 0,-3 2-113,-4-2 0,-2 2 47,-4-2 0,-1-2-154,-6 3 0,-7 0-10,-10 0 0,-3 4-104,-2-2 262,2-1 0,-2 0 0,2-5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4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43 7758,'-5'6'-706,"-2"-1"1,6-4 733,-1 3 0,0-2 205,2 5 1,0-3-95,0 4 0,0 2 136,0 5 0,0 4-68,0-2 1,3 5-155,0 3 0,2 3 39,-2 4 1,0 2-5,-3 2 1,0 2-36,0 5 1,0-5 12,0-2 1,0 1 1,0-2 0,0 1 9,0-7 1,0-3-1,0-4 0,0-6-4,0-2 0,0-2 71,0 0-54,0-6 46,4 3-105,0-8 0,4-1 22,1-7 1,-1-2-4,1-3 1,1-4-68,1-5 1,5-2-127,-2-6 1,1-4-4,1-2 0,4-7 103,0 3 1,-1-3-148,-2-1 0,-1-3 24,0-1 1,1-2-63,-1 6 0,-2 2-56,-3 9 0,-5 2-75,0 4 1,-4 1 358,0 7 0,-7 8 0,-5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5.2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393 0 7748,'0'6'-29,"0"-1"-524,0-5 1,-1 0 1245,-3 0-480,3 5 0,-9-3-179,3 1 1,-2 0-33,2 1 0,-7-2 0,3 6 0,-4-1-4,0 4 1,1 1 26,-5-1 1,5 0-44,-1 0 0,3 4 0,1 0 0,1 0 8,2-4 1,0 1 7,4-1 1,0 4 8,4 0 1,1-4-7,3-3 1,2-1-2,5 4 0,1 1 36,-1-1 1,4-4 79,0 1 0,4-2 45,-4 1 0,3 3-75,-3-2 1,0 1 90,-3-2 1,-5 2-61,1-5 0,-6 4 11,2 0 1,-3-2-85,-1 2 0,-1-5-4,-3 5 1,-6-1-119,-5 5 1,-6-1-229,-2 0 1,0 0-71,-7 1 0,0-6 376,-4-2 0,-50-23 0,-12-6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5.7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415 1 7816,'-11'6'-244,"0"3"-81,-1-6 1,0 6 269,-3-1 0,2 7 71,-2 4 1,-2 8 265,-2 8 0,-2 7-77,-1 12 0,-4 13 35,0 11 1,-4 16-415,17-39 1,0-1 0,-2 6 0,0 1 347,2 0 0,0 1 1,-1 1-1,1 0-10,2-1 1,0 0-1,2-2 1,2-2-170,1-1 1,1-1-1,1-3 1,1-2 144,3 39 1,5-9-33,3-17 0,7-4-513,3-8 1,7-3 259,2-7 1,8-8-739,-2-3 1,14-10 882,0 1 0,4-5 0,6-1 0,4-3 0,4-4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6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360 1 7319,'-11'5'-1264,"4"2"1178,4-3 1,1 1 297,2 7 1,0 4 19,0 7 0,9 5 32,2 8 0,4 8-121,0 7 1,1 7 100,3 5 1,2 6-194,-2 4 0,-3 5 142,-1 3 0,-7-3-27,-4-5 1,-3 3-45,-1-7 1,-9 2-1,-2-4 1,-12-2 4,1-6 1,-8 5 12,0-2 1,-4-3-95,-3-1 0,2-6-132,-3-5 0,3-3-328,2-4 0,4-3-157,3-8 0,3-4-749,5-6 1320,-4-8 0,9 0 0,-6-3 0,0-1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6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0 7747,'-3'0'-557,"-1"0"454,3 0 732,-1 0-442,2 0 1,2 0 59,2 0 1,2 5-115,1 2 0,2 4-1,0-1 1,-1 0-173,0 1 0,0 2 102,1 1 1,0 1-124,-2 3 0,0-1-23,-2-3 0,-2 1-5,-1 3 1,-1 3 6,-1-3 1,-1-2 36,-1 3 1,-2-6 131,-3 2 1,-1-1-85,1 1 1,2 0 17,-2-5 0,1 0 14,1-2 0,0 0-14,-1-5-173,3 1-109,1-4 0,3 0 107,0 0 1,2 0-103,3 0 0,-1 0-132,2 0 1,1 0 116,0 0 0,2-4 271,-1 1 0,1-5 0,9-8 0,3-7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7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91 6999,'0'6'1068,"0"-1"-833,5-5 0,2 0-99,4 0 0,4 0-40,0 0 0,1 0-87,-1 0 0,1 0-189,3 0 1,2 0-245,-2 0 0,2 0 216,2 0 0,-5 0-258,1 0 1,-5 0 227,1 0 0,1-4 238,-1 0 0,-20-39 0,-9-7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27.3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56 0 7700,'-6'8'-324,"2"-1"0,3 1 270,1 3 1,-4 0 51,1 1 1,-1 4 284,4 3 0,0 3-68,0 4 0,0-1-290,0 5 0,-4-4 7,0 4 1,1-5-86,3 1 0,0 1 147,0-5 0,-4 2 6,0-9 0,-5-15 0,3-8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0.6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91 169 7731,'-8'0'0,"1"0"1,3 0-116,-4 0 0,5 4-461,-5 0 608,6 0 1,-3-3 466,5 3-172,0-3-254,0 4 1,1-5 31,3 0 1,3 4-28,8-1 0,-2 1 0,2-4 0,2 1 6,2 3 0,-2-3-160,2 3 1,0 1 93,3-1 0,1 3-84,-1-3 0,-3 5 27,0-2 1,-1 7 56,5 1 1,-6 1-16,-2-1 0,-2-1 23,-2 5 0,-4-2 8,1 2 0,-6 2 18,2-2 1,-4-2 11,-4 2 1,-2-2 4,-5 2 0,-4-1 5,0-3 1,-4-3 19,4 3 0,-5-2 4,2-2 1,0 0-20,-1 0 0,4-3-11,-3-1 0,0-4-121,-1 1 1,2-3 72,2-1 0,2 0-85,-2 0 1,-1-1 43,1-3 1,0-2-13,4-6 1,0 1-33,0 0 1,-1-2-6,1-2 1,4 2-51,-1-6 0,6 0 56,-2-3 1,3-4-68,1-1 1,5 0 60,2 1 0,4-3-9,4-5 1,4 1 31,7-1 1,-1 5 4,5 3 0,0 2 2,4 2 1,-2-1 9,-2 1 1,2 8-184,-6 3 1,4 3 97,-4 1 0,0-2-284,-3 5 1,-1-1 398,1 2 0,4-9 0,2-5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0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43 7471,'-3'0'-750,"0"0"906,9 0 0,-2 0-64,6 0 1,-1 0 63,1 0 0,1 0-103,3 0 1,0 0-46,2 0 1,-1 0-121,2 0 0,1 0-202,-4 0 1,0 0-47,-2 0 0,0-3 360,-1 0 0,-14-14 0,-5-2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1.4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268 1 7732,'-9'11'0,"1"0"0,2 1 0,-2-6-538,5 2 1,-3 3 399,4 3 1,-5 5 460,5-5 0,-2 7-245,4 1 1,-1 0-62,-2 4 1,2 0 118,-2 0 1,2 5-96,1-2 1,0 1-93,0 0 0,0-2 96,0-2 0,0-3-122,0 2 1,-2-1 49,0-3 0,0 0-108,0-2 1,0 0 78,2-4 1,-2 3-93,-1-3 1,-2-2-58,2-6 0,2 2 38,-6-6 0,3 5 167,-2-4 0,0-1 0,-3-3 0,2 0 0,-2 0 0,1 0 0,-4 0 0,1 0 0,-1 0 0,1-3 11,-1-1 0,-1 0 126,1 4 0,0-1 1,6-3 0,-2 3 514,1-3-101,3 3-327,0 1-252,4 0 1,2 0 85,0 0 1,4 0-126,3 0 1,1 4 82,2-1 0,0 1-138,3-4 1,-2 0-158,1 0 0,2-1 66,3-3 1,-1 2 131,1-6 81,-1 1 0,42-43 0,-25 21 0,-1-2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1.7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223 1 7715,'-7'5'0,"3"-4"-765,-1 3 459,1 2 1,-2-4 618,-1 5 0,3-3-151,0 3 1,0 0-80,1 4 1,-3-5-66,1 2 0,2 1 8,-1 5 1,2-2-24,-3 2 0,4-3 1,-1 1 1,1-1-7,-1 0 1,1-1 26,-1 1 0,1 0-42,1-1 0,2-2 4,0-1 49,3 1 1,-2-1 24,1 0 1,1-4 8,0 5 1,-2-5 5,1 4 1,-2-4 9,3 0 1,-4 0-4,1-1 0,1 1 93,0 4-52,-2-4 0,-1 7-235,0-4 1,-1 3 41,-1-1 0,-1 0-76,-3-5 0,0 5-8,-1-5 0,-2 4-218,-1-3 0,-1 1 76,1-2 295,-3-1 0,-37-2 0,19-4 0,0 1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2.0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48 7705,'0'9'-825,"0"-3"1,1 0 718,2-2 0,6-1 764,7-3 0,3 0-320,3 0 1,3 0-201,6 0 0,3-1 13,4-2 1,3 2 192,3-2 1,5-1-231,1 0 0,4-2-91,-4 3 1,0-1-319,-3 0 1,-1 4 129,-2-4 1,-4 3-125,-5-2 0,-3 0 96,-3-3 0,-3 4 193,0-1 0,-16-7 0,-7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3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68 7391,'0'6'11,"0"-1"0,5-5 197,2 0 1,3 0-196,2 0 1,4 0 26,2 0 1,7 0-102,2 0 0,4-1 12,-1-3 1,2 1-67,2-4 0,-2 3 11,-2-3 1,-2 3-196,-6-4 0,-4 5-258,-3-5 557,-3 6 0,-30-13 0,-9 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3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91 1 7692,'-4'11'0,"0"0"0,-1-3-179,2-1-47,1 1 1,-3 3 233,5 0 1,0 4 170,0 0 1,-3 1-107,-1-1 0,0 2 103,4 1 0,0 4-255,0-4 1,0 4 79,0 0 0,0 4-152,0 0 0,-4-1 31,1-6 0,-1 2-88,4-2 0,-4 1 59,0-1 0,-1-3-84,2-5 0,1-3 233,-1-1 0,-4 1 0,1-12 0,-5-4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3.8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90 7670,'0'7'-521,"2"-2"635,1-5 1,5-2 266,7-1 1,2 0-262,6-4 0,4 3-62,3-4 0,3 5-126,0-5 1,2 2 59,3-2 8,-3-2 0,13-6 0,-1-8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4.8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302 1 7656,'-7'6'-271,"0"3"-124,-1-6 1,-1 4 348,-1-4 0,0 5 295,2-4 1,-2 3-122,1 1 1,-1 3 40,3 3 0,-1-1-34,1 2 1,1 0-98,0 0 0,3 3-14,3-4 0,0 1-28,0-4 0,3 4 6,3-1 0,0 0 7,1-3 1,2-1-26,1 1 1,-2 1 26,4-1 1,-2 0-6,0-1 0,0-2 121,0-2 0,0 2-68,-3 3 0,0-1 33,1 2 1,-4-5-23,2 0-29,-5 1 0,2 2-31,-3 1 1,-3-2-89,-2-1 0,-4 2-121,-4-4 1,-4 1-329,-2 0 1,-6-4-161,1 0 687,-3-1 0,-11-21 0,-6-6 0,-6-1 0,1-2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5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382 12 7578,'-12'0'-163,"1"-5"1,0 4 369,0-3-101,-1 3 0,0 9 15,-3 4 1,2 11 121,-2 4 1,-2 10-95,-2 8 1,-2 11 85,-1 12 0,-2 11-366,-2 11 0,14-40 1,0 0 229,-1 4 0,0 1 1,-1 7-1,2 1-50,0 0 1,1 0 0,0 3 0,2-1 5,3-3 1,1 0 0,1-1 0,2 1-12,-1-3 0,2 2 1,2-1-1,2-1-73,0-3 0,1-3 0,12 46-31,7-17 0,1-8-51,5-7 1,3-6-399,5-12 1,-1-9 220,6-10 0,4-6 288,6-2 0,2-3 0,1-7 0,1-1 0,3-2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5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382 0 7677,'0'11'0,"2"2"-589,1 1 0,0 0 278,4 3 0,1 5 367,3 4 0,2 9 48,1 2 0,4 10 229,4 8 1,5 6-189,-1 8 1,-1-1-226,-6 10 1,-3-3 171,-5 9 0,-5 0 124,-2 3 0,-8-4 75,-3-3 1,-9-1-17,-7-4 1,-4-1-137,-7-3 1,0-11-8,0-10 1,-4-2 5,-3-1 0,-3-7-234,-1-4 1,4-3-364,0-4 1,6-4 240,1-6 1,5 0-100,7-9 0,4-1 317,3-9 0,5-4 0,-1 0 0,-3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6.3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7696,'0'6'-1065,"1"3"1095,3-5 1,-1 1 877,4-2-637,1 4 1,3 4-121,0 0 1,0 2-26,1 2 0,-1-3-39,0 3 1,-3 1-2,-1-1 0,-1 5-34,2-1 0,1-2 10,-6 2 0,1-1-112,-4 0 0,0 2 66,0-5 0,-5 4 10,-2-4 0,-7 4 21,-1-4 1,0 0 8,4-4 0,-1-1-10,1-3 1,1 3-69,3-2 41,-3-3 1,8 1 16,-1-2-27,1-3 0,7 4-83,3-5 0,6 0-33,1 0 0,5 0 58,-2 0 1,7 0-119,1 0 0,1-1-93,-5-3 0,4 2-113,1-6 1,3 1 4,-4-5 0,-4-3 368,-3 0 0,-5-35 0,2-4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36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79 6557,'13'0'223,"1"0"1,8 0-47,2 0 1,5 0-32,4 0 1,11 0-40,6 0 1,5 0 3,-2 0 0,3-4-19,5 1 1,2-1 14,1 4 0,4 0-228,0 0 0,-2-1 216,1-3 1,-2 3-180,-2-3 1,1 1 52,-11 0 1,1 1-64,-4-1 1,-1 0 50,-6-1 1,-5 3-129,-11-3 0,0 3 74,-7 1 0,1-4 11,-7 1 0,0-1-188,-5 4 0,0-1 123,-2-3 151,2 3 0,-17-9 0,1 3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0:59:49.9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115 419 7915,'-9'-11'0,"-1"0"1,4 0-21,-2 0 1,3 0 133,0-1 1,-1 5 3,3 1 1,1-1 41,0-4 1,0-1-124,2 1 1,0 0 75,0 0 1,4 0-6,4 0 1,-3 1-27,6 3 1,-5-2-128,7 5 0,-1-3-41,0 3 1,5-3 87,1 4 0,1-5-81,0 4 1,3 2 63,1 2 0,3-4-58,-4 0 0,1 1 60,-1 3 1,-1 1-6,1 3 0,-1-2 14,-3 4 1,1-2-1,-4 4 0,0-2-2,-5 5 3,3 1 0,-4-1 31,1 0 1,-2 0 4,-4 0 0,-1 4 2,-3 0 1,0 1-24,0-1 1,0-3 2,0 6 0,-4 0-3,-3 0 0,-2 3 0,1-3 1,-3 0 5,-2 1 0,-1-5-2,-2 3 0,-3-2-28,0 4 0,0-4 21,-4 3 1,0-5-18,-4 2 1,3 1 15,-1-1 1,2-5-24,-2-3 0,0 0 18,-1 0 0,4 2-1,2-5 0,1-1 66,-1-3 0,3 0 83,0 0-45,4 0 1,3-3-77,1-1 0,2-5 99,1 2 1,3-3-85,0-1 0,2 0-3,1 0 1,0-1-34,0-3 1,0 3-19,0-2 1,0-2-80,0 1 0,4-4 104,-1 4 1,4 1-94,-1 4 1,3-5 73,1 0 0,0-1-13,2 2 0,3 1 6,0-2 1,6 3 6,-1 1 1,6-4 52,-1 2 1,-1-2 12,2 3 0,-1 1-23,5 0 1,-1 1 7,-1 2 0,0-1-57,-2 2 0,-4 1 35,-2-2 0,-1 4-28,1-3 0,-4 3-2,-1-3 1,-3 3-11,1-3 0,-3 1-4,0-1 0,0-2 0,-1 1 1,1 2 9,0-1 1,-1-1 4,0-3 0,1 3-125,0 1 1,-4 1 117,1-2 1,-5 0-218,5 5 0,-5-2-232,2 1 210,-4 3 0,0-6-6,-4 4 0,2 1-206,-5-1 1,1 0 460,-3-1 0,-48-26 0,-12-11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8:04.9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128 486 8403,'-13'-26'0,"2"6"0,2-11 0,4 5 124,5 4 0,0 3 100,0 5 0,5 7-554,4 2 1,3 0 161,5 1 1,4-2 46,9 1 1,8-1 129,9-2 0,4-4-6,4 3 0,7-3 25,6 0 1,7-1-186,1-1 1,-4 2 141,4-2 0,-5 5 41,2 1 0,2 1-39,-3-2 0,-5-3 8,-3 3 1,-2-1-11,-7 1 0,1-2 43,-7 2 1,-6-3 2,-7-1 1,-10 4 39,-1 0 0,-7 3-35,-1-2 59,-8-4 1,-6 10 118,-6-2 1,-5-2-175,-5 1 0,-4 1-44,-5 4 1,-9 0-16,-7 0 0,-9 6-24,-11 3 0,-4 3-22,-10 0 1,3 2-258,-7 4 0,2-2 308,-12 6 0,1-5-121,-3 5 1,3 1 90,0 3 0,3 0-5,-7-1 1,15 1 27,-3-5 1,16-2 0,10-6 1,7 1 25,6-1 0,6-5 13,7-5 0,9-1 78,8-2-105,4 0 55,-1 0 0,7 0-39,1 0 0,6-2 44,8-1 0,3 0-203,6-6 0,4 4-120,5-4 1,2 0 164,6-4 1,-2 5 105,6-1 0,0-3 0,9-2 0,4-4 0,1 1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8:05.8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88 223 8357,'0'-19'0,"0"3"-162,0-5 1,0 5-163,0-1 0,0 6 264,0 2 174,0 6 1,0 3-200,0 9 0,-1 5 96,-4 3 0,2 4 39,-6 10 1,5 2 6,-5 7 1,5 0 27,-5 5 0,6-3-59,-2 6 0,-1-3-8,2 1 1,-1 2 5,5 5 1,0-6 5,0-3 1,0-3-65,0-2 0,2-4 64,2 0 1,-1-10 124,6 1-104,-6-9-81,9 3 218,-10-13-85,4-2 1,-5-8-79,3-3 1,-2-3 4,2 0 1,-2-7-9,-2-2 0,0-4-6,0-1 0,4-1-92,1-2 0,-1-3 109,-4-1 1,2 1-146,2-6 1,-2-1 96,2-3 0,-2-1-17,-2 2 1,0-7 18,0-4 0,0 0 8,0 1 0,0-2 25,0 6 0,0 0-24,0-1 0,1 10 51,4 0 1,1 8-39,3 4 0,3 5-4,-3 4 1,4 3-25,5 2 1,-3 3-4,2 6 1,-2 0-19,-1 0 0,4 0-11,-1 0 0,1 6 5,-4 3 1,-1 2 22,1 3 1,-5-1 23,0 0 0,-2 0-26,2 1 1,-1 0 27,-4 4 0,-2-4 5,2 3 1,-2-2 9,-2-2 1,0-4 56,0 0 1,-2-1 9,-2 5 1,-4-1-12,-5-4 1,-5 5-46,0-5 0,-6 4-194,1 2 0,-6-3 119,-3-2 1,0 3 57,1-4 1,2 2-210,-2-1 1,7 1-301,2-6 0,5 5-213,-1-5 710,9 1 0,69-57 0,-19 19 0,0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8:06.3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472 149 8331,'0'-14'-380,"0"1"-47,0-1 0,0-4 468,0 0 0,0 0 1012,0 5-890,0-1 22,0 1-360,0 5 0,-1 2 88,-4 6 0,-7 0-99,-6 0 0,-4 6 73,4 3 1,-11 3 60,2 2 1,-4 4-8,0 0 0,1 4 31,-6-4 0,6 2 49,-2-2 1,3-2-41,-3 6 1,10-5 32,-1 1 0,7-3-14,2-2 1,7-2 22,2 2 0,5-7 2,5 8 1,2-4 2,7 4 1,5-1 2,4 1 1,7-1 4,1 0 0,2 2-41,-2 3 1,4-1 19,5 5 0,-4-1-65,0 2 1,-6 2 59,1-2 1,2 2-63,-1 2 0,-5-5 41,-5 1 0,-7-5-8,-2 4 0,-5-5 21,-8 1 0,-2-3 8,-2-2 1,-5-4 122,-9 0 1,-7 0-79,-7 4 0,-5-4 1,1 0 0,-5-1-20,-3 1 0,2 3 14,-3-3 0,3-2-100,2 2 1,5-4-194,4 4 1,2-5 242,2 5 0,18-12 0,5 2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37.9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23 213 7868,'-7'4'-1075,"-1"-3"643,3 2 340,2-3 0,4 0 290,1 0 0,3-3-154,3-4 0,3 2 467,1-2 1,3 2-212,0-5 1,2 1-30,1 0 0,-1 3-212,4 0 0,-1 1 7,3-1 0,3-1-84,0 3 1,2 1 52,-3 3 0,3 0-106,-1 0 0,-5 1 82,-1 3 1,-5 0-166,0 6 0,-2 2 129,-4 0 0,0 0-1,-5-2 1,1 2 50,-3 0 1,-1 3 13,-2-2 1,0 4-1,-3-2 0,-2 2 95,-2 1 1,-4 1-55,1 0 0,-3-1-34,-1 1 0,0-1 51,-5 0 0,2 3-14,-3-3 1,1 2 0,-1-8 0,2 3-19,-3-2 0,2-3-27,-2-3 1,3-3-37,2-4 0,1 0-9,-1 0 0,1-5-9,0-4 0,3-2 51,1-4 0,3-4-55,0-5 0,3-2 3,3 1 0,1-5-1,1 3 0,3-3 21,3 2 1,5-2 5,4-2 0,4 5 55,4 3 0,4 0 6,1 0 0,3-1-11,2 6 1,-1-1-29,1 9 1,-2-4-19,-3 6 0,1-4-55,-3 6 1,-4 1 21,-4 6 0,-2 0-218,-3 0-427,2 0-140,-8 0-405,1 0 1210,-4 0 0,-11-3 0,-2-3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38.5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0 113 6900,'0'7'-223,"0"-2"1,5 2 292,1 2 1,3 6 39,1 4 1,4 5 67,2 6 0,2 4 107,-2 7 0,1-1-173,-4 4 1,0-5 124,-3 2 1,0-3-24,0-1 1,-5-7-107,-1-1 1,0-8-19,-1 2 0,0-8 3,-3-3 0,1-2-67,3-3 110,-3 0-71,3-6 1,-3-1 57,3-6 0,1-4-1,5-6 0,1-4-273,2-12 1,2-2 75,4-3 0,1-4-250,3-3 1,-1-5 66,4-1 0,-7-3-34,0 4 0,-3-1-7,1 7 0,0-1-101,-4 8 1,1 2 399,0 12 0,-4 4 0,5 9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39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40 196 7790,'-7'0'0,"1"0"0,3 0 115,-4 0 0,4 0 284,-4 0 1,5-1-408,-1-2 215,2 2 191,1-8-73,0 8-329,0-3 1,1 4 98,2 0 1,-1 4-127,5 3 0,-2 1-2,2 2 0,0 1 12,-3 2 0,2-1 28,-2 4 1,2 0-163,-3 0 1,4 1 59,-4-4 1,0 4 88,-3-4 1,4 0-25,-1-3 1,0 0-18,-3-1-5,0 1 44,0 0-1,0-5-4,0 0-6,0-5 76,0 0 1,-1-5-57,-2-1 0,2-3-159,-3-1 0,3-1 54,1-2 0,-1 1-44,-2-4 1,2 0 83,-2-4 0,2 1-15,1-1 1,0 0 0,0 1 0,0-1-16,0 1 1,0-4-6,0 0 1,3 0 73,0 3 0,4 4 188,-4 0 1,5 4-40,-2-1 1,3 2 180,1 1-280,-1 5 1,1-3-10,0 5 1,0-1-12,0 4 0,-4 5-6,1 1 1,-1 2 27,4-2 0,-3 4-19,-1 0 1,-1 0 133,2 3 0,1-2-74,-5-1 0,1-1 105,0 1 1,-3 0-79,2 0 1,-2 0 9,-1-1 1,-1-1-183,-2 2 0,-2-6 98,-1 6 0,-6 0-304,2 0 0,-3 1 127,0-4 0,1 1-96,-4-2 1,2 2-75,-2-5 1,4 4-549,-1-4 874,2 0 0,1-25 0,1-5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41.7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29 7570,'14'0'349,"2"-1"-287,-3-3 1,3 3 10,6-2 1,0 2-94,3 1 1,-2-3 48,3 0 1,-2 0-285,1 3 0,-1 0-35,-4 0 0,-2-3-396,2 0 265,-6-1 421,0 4 0,-8 0 0,-27 0 0,-12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41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30 7747,'1'6'10,"4"-3"0,-3-1 17,5 2 1,2-3-33,3 2 1,0-2 20,4-1 0,-1 0-8,4 0 1,-4 0 45,4 0 1,1 0-1,3 0 1,-4-3 27,0-1-82,0 1 0,16-14 0,0-5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44.9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 50 7822,'-10'0'193,"1"1"-7,3 2 1,1-1-378,5 5 1,0-1 93,0 4 1,5 4 174,1 3 0,4 1-31,3 2 1,-1 5-6,4 4 1,0 2 19,0 5 0,1-4-1,-4 4 0,4-4-4,-4 0 0,0 1 10,-3-3 0,-1-3-83,1-8 0,0-3 39,0-3-8,0-2 41,-1-6 0,1-5-2,0-7 0,0-1 47,0-2 1,-1-5-57,1-5 0,4-1-46,3-5 0,1-3 9,2-4 0,-1-3-103,1 4 1,-4-4 10,1 3 0,-2-3-204,1 3 1,-2 1 16,-4 2 1,-3 2-491,-1 2 761,-4-2 0,-2 11 0,-5-1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45.4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138 20 7854,'-5'-1'-1076,"1"-2"1267,-1 2 1,4-5-114,-2 3 1,0 2 309,0-3-322,2 3-21,-3 1 0,3 0-131,-3 0 101,3 0 0,-4 0-103,1 0 0,3 5 52,-2 1 1,-1 3 14,1 1 0,-4 0 4,4-1 0,-2 4 10,2 1 0,2-1 40,-2-4 0,2 4 19,1 1 1,0 2-22,0-3 1,0 0-7,0-3 1,1 0 54,2-1 1,2 3-55,5-2 0,0 2 85,0-5 1,0 0-64,-1 0 0,4 0 1,1-3 0,-1 2-6,-4-2-26,1 3 1,-1-5 78,-3 5-59,3-5 0,-8 3-43,3-1-19,-3-3 1,-6 6-7,-1-3 0,-6 2-42,-1-2 0,-1 3-151,0 0 0,2-2 149,-4 2 0,1-5 11,-1 1 0,-2 1-507,5 0 0,0-1 286,3-3 1,0 0 284,1 0 0,-1 0 0,17-31 0,5-7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46.3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57 7809,'0'7'-21,"0"-2"1,0-1 4,0 2 1,0-3-255,0 4 1,0-2 187,0 5 0,0 0 101,0-1 1,0 2-68,0 1 0,0-1 91,0 1 0,0 2-85,0-2 0,0 4 19,0-4-60,0 1 107,0-4-41,3 1-32,1-5 17,3 0 1,1-10-64,-1-1 1,0-5 81,0-2 0,1-2 1,-1 1 0,0-1-12,1 2 0,-1-3 82,0 0 1,-2 2-57,0 2 1,-1-2 9,1 2 0,-1 2 0,-2 4 0,-1 2 7,1-1 0,0 3 12,1-2 1,-2 4-11,1 4 0,-1 0 8,-1 6 0,0 0-24,0-2 0,0 5-1,0 0 1,0 0-3,0-5 1,0 2-5,0 0-18,0-1-10,0 1 3,0-1 23,3-4 1,0-5-78,2-6 1,1 0 72,-4-4 0,4 3-2,-2-6 1,1 2 17,-1-2 1,-1 2 2,2-1 1,-2 1 45,1 3 1,-2 1 120,1 1 0,-3 2-94,0-1-44,0 3 0,0-2 27,0 8 1,1 0-13,1 6 0,-1 1-3,1 1 1,3 3-63,-1 4 0,1 2-134,-1 1 0,-1 0 230,2-2 0,-4 2 136,2 0 0,0 4-404,-1-1 0,0-3 43,-2-4 1,0 0 343,0-5 0,1 0-194,2-4 0,-2-3-172,1 1 1,0-4 167,1 3 0,-2-4 184,4 1-336,-4-2 100,3-1 124,-4-4 1,-1-2-111,-2-2 1,2-2-42,-4 1 1,0-1 68,-3 0 1,2-2 35,-2-1 0,1-3-44,-1 0 1,2-5 39,1-1 0,-1-1-26,4 1 1,0-1-6,2-2 1,1-2-44,1 1 1,5 4 1,2 0 0,4 1 41,-1 2 0,2 5-9,1 1 0,-2 6 30,0 1 1,-1 4 26,-2-2 0,0 3 67,-3 1-48,1 5 0,-4 0 135,1 4 1,-3-2-43,0-1 1,2 0-2,-2 3-76,0 1 1,-2-1 11,0 1 1,0 0-140,0-2 0,-2 5-71,0 0 1,-4 0-177,1-5 1,-1 2-71,-2 0 1,0-1 362,-2 1 0,-10-14 0,-7-2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09:54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128 147 7852,'-10'6'-610,"5"-2"1,-3-3 448,5 2-149,-1-2 327,4 4 0,2-5 96,1 0 0,-1 0 118,5 0 1,-1 0-113,4 0 0,0 0 54,-1 0 1,-2 0-114,0 0 1,-1 0 107,4 0 0,0 0-101,-1 0 0,1 1-10,0 2 0,0-2-124,0 3 90,-1 1 0,1-3-10,0 5 1,-3-4-21,-1 3 1,0-2-5,0 2-9,-2 1 10,1 3 1,-4-1 18,2 1 1,-5 0-3,-1 0 1,-5-3-19,2 3 0,-6-2 10,-1 5 1,-2-2-3,2-1 0,1-1 4,-4 1 1,3 0-2,-3 0 0,4-4-29,-1 1 1,1-4-7,-1 4 1,2-5 14,-2 1 1,1-2 5,-1-1 1,2 0-10,-2 0 0,3-1 8,3-2 0,-1-3 29,1-3 0,2-1-27,-2 0 1,5-3 29,-1 0 1,2-5-10,1 2 0,1-2 3,2-2 1,2 0-6,5 1 1,1-1-4,2 1 1,-1-1 98,4 0 1,1 1-93,2-1 1,1 4 142,-1 0 0,1 4-101,0-2 0,-1 4 11,1 0 0,-1 4-33,1 3 0,0 2 6,-1 1 1,3 0-92,-2 0 0,1 0 54,-4 0 1,-3 0-269,-1 0 1,1 3-90,-1 1 358,5-1 0,-12-12 0,3-2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2.3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1 147 7223,'10'0'206,"4"0"75,4 0 0,5 0-85,4 0 0,9-3 111,4 0 1,9-2-106,4 2 1,4 1-80,1-5 0,8 4-82,-2-3 0,10 0 3,-4 0 0,1-3-73,-10 3 0,-1 0-10,-4 0 1,-2-1-27,-2-3 0,-6 4-36,-6-1 1,-1 4 72,-3-3 0,0 2-110,-1-2 1,-8 3 75,-6-4 0,-1 5-380,-1-1 4,-1 2-459,-3 1 475,-5 0 422,-7 0 0,-15-5 0,-4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2.9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7764,'0'5'-503,"0"4"650,0-4 1,0 8-338,0 0 0,4 8 107,3-2 1,5 7 250,1 0 0,3 6-59,-3 0 1,3 4 8,-3-4 1,3 4-118,-3-4 0,4 1 1,-4-4 0,0-5 21,-4-4 0,-2-2 53,-1-5-81,1 0 31,3-3 45,-5-5 0,0-1-58,-1-4 1,-3-4 146,2-2 1,1-7-137,0-4 0,3-2-39,0-4 1,5-2-59,1-4 0,0-4-203,-4 1 0,4-5-7,0 1 1,0-1-41,-3-2 323,0 4 0,4-25 0,1-1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3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185 1 7099,'6'0'-507,"-2"0"1,-5 1 662,-2 2 1,0-1 85,-3 5 1,-4-1-138,-3 4 0,-1 0-25,1 0 1,1 4-83,-4 2 0,3-1 72,-3 1 0,3 1 30,-3 2 1,4-3-36,-1 1 1,5-5-64,2 5 0,3-5-16,0 1 0,2-3 88,1 0 1,5-1-57,5-3 0,0-1 110,3-5 1,2 3-73,1 0 1,2 0-29,-2-3 0,2 0-25,-1 0 1,-2 0-2,1 0 0,-4 0 13,1 0 0,-2 0-11,-2 0 1,-2 0-191,-1 0 182,-3 0 1,1 2-183,-4 1 1,-3-1 41,-1 4 1,-3 0-91,0 0 0,-5 3 91,-1-2 0,0-2-152,4 1 0,-2-2 51,-2 2 244,2-4 0,-16-2 0,1-5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4.2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10 7738,'5'-4'-473,"2"2"1,-5-2 479,4 4-13,-4 0 0,1 1-8,-3 2 1,3 3 119,0 4 0,0-1-90,-3 0 1,0 4 2,0-1 1,0 0-2,0-2 0,0 0-23,0-1 1,0 0 21,0 1 1,2-4 1,2 1 0,2-6-23,0 3 1,1-3-9,2-1 1,-1-5-79,1 0 1,-1-4 87,4-1 1,-2-2-59,5 0 1,-4-4 46,3 3 1,-4-1-51,2 2 48,-3 1 1,-1-1-1,1 5 47,-5 3-7,0 4 1,-4 4 8,0 3 1,0 2 82,0 4 1,0-2-46,0 5 1,0-3-44,-4 3 1,3-5 15,-1 2 1,1-3 31,1 0 2,0-1-51,0 1-28,0-5 1,1-1 9,1-4 0,0-1 8,3-2 1,0-2-17,1-5 0,2 1 64,-3-1-35,3 0 1,-1 1-17,-1 0 1,1 3 18,-5-1 5,5 6-21,-3-5 1,2 7-16,0 4 0,-3-1 17,2 6 1,-2 3-50,2 3 1,-1 4 37,1 1 1,-3 0-3,0 4 0,3-4 19,-2 1 0,0 1 0,0 0 1,-2-1-42,1-4 0,1-3-3,-1 2 0,-1-3 176,3 2 1,-4-2-89,0-5 0,0-2 58,0-1-53,0-3 7,0 0-33,0-3 1,0-1-31,0-1 1,-3-4-28,0-4 1,-1 0-122,2-3 0,-1 0 92,-1-3 1,1-2-133,1 3 1,-3-4 122,3-3 0,-3 1 4,1-1 1,2 0-2,2-1 1,0 1-7,0 3 1,1-2 89,1 3 1,3-2-20,4 7 0,-1-3 112,1 4 1,3 0-10,1 2 1,1 5-60,0 1 0,-1 0 53,1 1 1,1 0-69,-4 3 1,0 0 0,-2 0 0,-3 3 39,-1 0-58,-3 5 1,2-3-29,-4 5 0,0-5-10,-4 2 0,0-2-143,-5 5 1,-3 0 46,1-1 1,-2 0-340,1-2 0,-3-1 12,1-3 428,2 1 0,-38-34 0,-5-7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5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146 1 7832,'-9'0'-424,"-1"0"-150,0 0 1,0 0 517,1 0 0,-1 4-13,0 2 1,0 4 320,1 2 0,-1 3-140,0 4 1,0 6 19,1 3 0,2 6 16,1 7 1,4 6 26,-2 8 1,3 4-66,1 4 1,1 8 58,3 2 1,-2 8-378,4 1 0,-4 3 286,2-5 0,-3 3-131,-1-4 1,1-2 51,2-7 1,-1-6-138,5-10 1,0-4 28,6-5 1,2-4-73,5-6 0,1-3 24,1-7 1,8 1 156,5-4 0,0 0 0,3-2 0,5-2 0,6 2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5.8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7749,'9'9'157,"2"2"-60,2 1 1,-1 3-181,4 8 1,5 2 70,5 8 1,2 0 87,1 4 1,3 2-17,-2 1 1,1 1-112,-5 0 1,-5-2 105,-2 2 0,-2-1-140,-1 5 1,1-2 97,-4 5 1,-4-2 29,-6-2 1,-2 3 57,-1-3 0,-1 1-63,-2-1 0,-6 1 17,-4-4 1,-4 3-58,1-2 1,-3 2-3,0-4 1,2 1 1,1-7 0,0-1-17,-4-5 1,2 4-354,1-5 0,-1-1 147,5-7 0,-1-5 225,1-1 0,3-10 0,-5-4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6.42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69 7741,'0'-10'-279,"0"1"-149,0-1 1,4 3 289,-1 1 395,4-1 1,-1-1 64,4 1 0,-1 3-134,1 4 0,0 0-63,0 0 1,3 0-94,0 0 0,3 3 17,-3 0 1,1 5-7,-1-1 1,-2 1-74,2 2 1,-1-1 86,1-3 1,-6 3-15,3-3 1,-4 3-106,1 1 1,0-4-70,-3 1 0,-1-1 0,-3 4 1,0 0 112,0-1 0,-1-2 18,-2-1 1,-3 1-15,-4 3 1,0 3 36,-3 0 0,2 0 32,-2-4 0,2 0 70,1-3-88,-4 7 0,3-6 1,-2 6 1,6-5 125,0-2-103,5-4 140,-2 7-132,4-8 0,1 3 4,2-4 0,4 0-14,6 0 1,-1 0 12,4 0 0,-3-3-132,3 0 1,0-2 108,4 2 1,-4 2-268,0-2 1,0-1 67,4 0 0,-2 0 121,-1 1 0,0 2-332,-4-3 1,3 3 360,-3 1 0,-4-30 0,-5-8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9.6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79 8236,'-5'-9'214,"2"-1"1,4 0-178,1 1 0,3 1 150,3 2 0,2 3-70,1 0 1,3-1-152,0 1 1,1-1 104,1 4 1,3-3-120,3 0 0,0 0-17,0 3 1,-1 0 119,-2 0 1,-1 1-330,-1 2 0,-2-2 85,2 2 1,-5-1-255,-2 2 1,0-3-390,-3 2 832,1-2 0,-13-10 0,-5-1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09.8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0 7742,'-6'1'-326,"-1"2"175,5-1-94,-6 6 1,7-2 328,-3 3 1,3 5-76,1 3 1,0 2 144,0 4 1,0 3-55,0 6 1,0 0 22,0 3 1,0-2-113,0 3 0,0-3 1,0 0 0,0-2-74,0-8 1,0 0 61,0-4 0,9-30 0,2-7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21.0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2494 7903,'-5'-1'825,"-1"-2"-1553,4 0 0,-2 0 184,1 3 780,3-4 0,-4 2-65,8-1 0,-3-1 146,5 0 0,0 1-44,1 3 1,2 0-180,3 0 1,-2 0-93,4 0 0,1 4 77,1 3 0,1 2-43,-1 1 1,0 0-9,-2 0 1,2 3-109,-2 1 1,0 1 46,1-1 1,-3-1 32,-5-2 1,1-2 102,-1 1 0,-1 0-23,-4 1 0,1-5 123,-3 1-78,0-5 35,0 2-49,0-4 164,0 0-217,0-4 0,0 2-88,0-5 0,0 1 77,0-5 1,0 0-132,0-2 0,0 1 26,0-5 0,0-2-74,0-5 1,0-3 115,0 0 1,0-7-15,0-1 0,3-10 14,-1-1 1,3-6-16,-3-5 0,-1 2 58,2-2 1,-2-1-72,-1-2 1,0-2-59,0 10 1,-1-6 38,-2 1 1,1-1-99,-4 2 0,2-1 68,-1 3 0,-2-4-126,4 2 1,0-6 126,3-1 0,0 3-12,0 7 1,0 4 122,0 3 0,0-3-69,0 6 1,3 0 133,0 4 1,1 2-2,-1 1 0,0 3-31,2 0 0,2 2-47,-4 2 0,2 2-3,-1 0 0,-1 1-5,0-1 1,-2 4-14,2 2 0,-3 1 12,0 1 0,0-4-11,0-1 0,0 5-54,0 2 0,0 0 43,0-3 1,3 1 34,0 2 0,-1 3-1,-2 4 1,0 0 8,0 1 0,1-1 11,3 4 17,-3-3-5,2 8-27,1-9-7,-2 9-7,5-2 1,-3 3-2,4 0 1,1 0 20,0 0 0,0 0 1,2 0 1,3 0 28,4 0 1,5 0 10,6 0 0,5-4 44,8 0 1,4-3-75,7 0 0,5 1-16,6-4 0,6 2-257,2-5 0,10 2 255,2 1 0,-40 5 1,1 0-16,0-1 1,0 2-1,0 0 1,1 1-8,2-1 0,-1 1 0,2 2 1,0-1-7,2 0 0,-1-3 1,-3 2-1,1 1 10,-5-1 1,0-1 0,41-4-120,-3 6 0,-4-7 73,-7 3 0,-5-4-32,-10 0 0,3 1 111,-6-1 1,0-1 3,-5 2 1,-5-1-37,-5 0 1,-3 1 6,-1 3 0,-3-2-222,-2 5 1,-5-1 55,-4 4 164,-5 0 0,-1-1 0,-4 4 0,-2 5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0.2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19 7842,'-6'-5'252,"-1"1"-122,5-1-197,-2 4 1,4-2 115,0 6 0,0 2-49,0 5 0,0 3 79,0 0 1,1 8 99,2-2 0,2 10-132,5 1 0,0 7-20,0 6 0,1-1-2,2 10 1,-2-4 85,6 4 1,-4-3-277,3 0 0,-4-6 61,1-4 1,-2-5 152,-2-8 1,0-7-25,-2-6 16,1-6 0,-6-3 21,5-4 0,-5-4 18,1-3 1,2-2 16,-2-4 0,4-6 9,0-3 0,2-9-169,0 2 0,1-7 108,0 1 1,-4-2-294,1 1 1,-1-2-7,4 2 0,0 3 12,0 0 0,-4 4-61,1 3 1,-1 3 302,4 7 0,8 15 0,3 7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0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58 8247,'0'7'-373,"0"-1"1,0 1 381,0 2 1,0 2 253,0 2 0,4 7-177,-1 6 0,1 2-74,0 1 1,-3 1 124,2 3 0,1-2-101,-1 5 1,1-6 68,-4-1 1,0-1-10,0-9 1,0 3-297,0-6 0,0-5-111,0-1 302,0-7 0,0 0-7,0-6 1,-1-3-3,-3-3 1,3-7-15,-2-3 0,-1-2 6,0-5 0,0 4-1,1-4 1,2 0 27,-2-4 1,0 0 3,0-2 1,2 5 28,-2-3 0,2 3 2,1-2 1,1 4 29,2 2 0,2 3-57,5 0 1,0 6 5,0 4 1,3 1-6,0 2 1,1 3-10,-1 1 0,-1 3 0,4 3 1,-4 1-8,1 3 0,-2 1 121,-2-1 1,-2 2-71,-1 0 0,-2 1 6,2 0 0,-4 0-20,2-1 0,-3 1-135,-1 0 1,-1 3 67,-3 0 1,-1 1-140,-5-1 1,0-2-7,1 2 1,-2-3-258,-2 0 0,1 0 438,-4 0 0,-22-31 0,-9-7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1.1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89 7261,'4'0'247,"0"-5"0,-1 1-37,3-3 1,0 0-213,1-1 1,0 4-109,1-3 1,2 4-30,-2-5 0,0 4-190,0-3 1,-2 1-50,2 3 1,-1 2 124,-2-2 1,1-2 252,0 2 0,-10 0 0,-4 3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1.3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49 7773,'0'5'656,"0"1"-30,0-3-574,0-2 274,4 3-102,2-4 0,3-3-112,1 0 1,0-4-146,0 4 0,-1-3-523,1 2 0,1-2 135,2 3 421,-2-5 0,25-2 0,0-5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3.4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 26 7786,'-5'0'-1013,"-1"0"1329,3 0-187,2 0 1,-3-1 243,4-3-41,-5 3 37,4-3-238,-3 4-10,4 0-146,0 0-28,0 4 1,4 6 134,3 6 0,1 4-25,2 2 1,4 7-209,2 3 1,0 9-24,0 1 1,-3 1 348,3-1 1,-4 1 29,1-1 0,-6 0 10,0-7 1,-2-2-127,2-7 1,-3-7 20,-4-6 1,1-6 33,3-4-155,-3-2 0,3-6 49,-4-5 0,3-5-46,0-8 0,5-6-138,-1-7 0,1-2 37,2-1 1,0-4-143,-1-3 0,0 4 82,-2 3 0,1 0-128,-1 4 1,0 0 14,0-1 1,1 9-79,-1 1 360,2 9 0,5 20 0,1 9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3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98 29 7773,'5'-1'869,"-2"-2"1,-1 1-445,-2-5-121,0 5-241,0-6-70,0 7-291,-5-4 0,0 5 117,-5 0 1,0 1 136,1 3 1,-1 1-399,0 5 1,0-1 167,1 1 0,2 3 192,1 0 0,0 1 138,0-1 0,1 1-23,5 3 0,0 0-24,0-4 0,0 1 59,0-1 0,1-2 106,3 2 0,0-6-85,3 0 1,1-4 93,-1 4 0,5-5-51,1 1 1,0-2 70,-4-1-136,1 0 1,0 0 7,0 0 1,-4 0-40,1 0-154,-5 0 1,2 1-129,-4 2 0,0 0 83,0 3 1,-4 1-194,-3 2 0,-1 1 19,-2 0 0,0 0-93,0-1 0,1-2 197,-1-1 1,0 1 232,0 3 0,-4-5 0,-1-1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4.6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85 7773,'8'-8'0,"-2"2"0,0 3-110,-4-2 0,3 4 73,-2-2 1,-3 3-189,3 3 1,-2 2 148,-1 5 1,3 2 254,0 1 0,-1 0-101,-2 0 1,0 1-26,0 1 0,2 3-59,0-2 0,-2-3 20,4 0 1,-2-2-3,1-3 1,-2 1 3,6-2 1,-5-3-25,3-4 0,1 0-22,3 0 1,-1-2 7,0-5 1,1 1 34,0-6 1,-2-3 10,2-2 0,-1 0-39,1-2 1,-2 4 24,-1-2-124,1 6 0,-4-2-19,2 3 58,-4 5 39,4 0 0,-5 13-12,0 2 1,0 2 71,0 1 1,0-1-63,0 3 1,0-4 128,0 3-107,0 0 0,0-4 11,0 3 0,1-7-2,2-2 0,1-3-2,4-1 1,1-1-6,0-3 0,-1-2-7,0-7 0,2 2 96,1-4 0,-2-2-84,2-1 0,-1-2 147,-2 2 0,0 3-73,-3 3 1,2 1-58,-5 1 0,3 4 26,-2-1-17,-3 6 1,4 3 13,-4 8 0,0 7-8,0 2 1,0 1-3,0 5 0,0-1-10,0 1 0,0 3-57,0-4 0,0 4 61,0-3 1,0 1 7,0-5 1,3 1-10,-1-2 1,2-3-62,-1-1 176,-3-3 13,5-3-98,-5-5 1,0-1 11,0-8 0,0-4-16,0-5 0,0-4 3,0 1 1,0-3-195,0-4 0,0-1 107,0 3 1,0-3-22,0-1 1,0-2 50,0 1 0,-3 2-10,0-4 0,0 5 66,3-2 0,0 5 7,0 0 1,4 5 24,2 0 1,2 5-44,-1 1 0,2 6 69,-1 0 1,2 2-62,1 1 0,-2 1 124,2 2 0,-1-1 148,-2 4-86,1 0 0,-2 4-108,-1 0 1,-2-5 6,0 2 0,-4-1-99,3 4 1,-3 1 83,-3 1 1,-1-1-122,-4 1 1,-1 0-81,0 1 1,1-4-168,0 4 1,-1-3-17,1 0 0,-4 3-104,1-1 1,0-2 19,2-4 1,2 0-587,-2-1 945,4-1 0,1-24 0,4-6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5.6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97 121 7729,'0'9'2,"0"4"-2,0-1 0,-1 5 0,-2 2 0,1 4 294,-4 8 0,2 0-86,-2 3 0,-1 0-11,-2 3 1,0 1-132,2-1 0,-1-5-40,1 1 1,0-9 19,0-2 0,2-5 64,1-2-37,3-7-202,-3-1 0,4-8 99,0-2 0,0-2 31,0-8 1,0-2-104,0-4 0,1-1 50,2-1 0,0-2-125,3-6 0,-3 0 115,4-1 1,0-1-18,6-2 0,-2-1 28,2-1 1,2 0-19,2 5 1,1-6 230,1 2 0,1 2-63,-1 0 0,1 9 96,-1 5 0,1 4-19,-1 3 0,-3 7-110,-3 0 0,-4 4 22,-2 4 1,0 4-138,-3 4 1,-1 4 22,-3 1 1,0-1-66,0-1 1,-4 4 54,-3 0 0,-1-2 16,2 2 1,-6 0-79,2-4 1,-2 2 77,3-2 0,-4 2-97,0-5 0,0 0 48,3-7 0,-3 3-81,0-5 1,0 0 81,3-3 32,0 0 1,1-1 108,-1-2 0,5 1-163,1-4 231,3 3-174,1 0 158,5 3 1,1 1-12,7 1 1,-2 5 24,2 6 0,1-1-128,-1 3 0,3-3-12,-3 4 1,5-1-98,-2 3 0,-2-2-216,-1 0 1,-2-5 37,-2 5 0,1-5-14,0 2 290,0 2 0,-9-6 0,-2 5 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5.9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29 7711,'10'5'0,"-1"-4"-102,0 2 1,1-2-252,2-1 0,9 0 800,6 0 0,6 0-217,7 0 1,10-1 473,9-2 1,3 1-192,12-5 1,-3 4-142,3-4 0,1 5-192,-4-1 1,4 2-277,1 1 1,-1 0 130,-1 0 1,-3 0-18,-7 0 1,-2 0-727,1 0 0,-11 0 333,-3 0 1,-5 0 374,-7 0 0,-12-5 0,-4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6.6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98 78 7693,'0'10'795,"0"-1"-1103,0 1 0,0 0 117,0 0 0,0 0 151,0 3 0,0 4 165,0 5 0,0 0 319,0 4 0,-3 3-221,0 4 1,-5 0-118,2 0 1,-3-3-140,-1 3 1,0-4 113,1-3 1,2-3-99,1-7 0,0-2-14,0-4 0,0-5 2,3-2 1,2-3 13,-2-3 0,2-3-5,1-7 0,1-4-11,2-5 0,1-3 0,3-5 0,3-3 2,-1-3 0,1 1 21,3 0 1,1 3-5,-1 0 0,3-3 116,-3-1 1,5 3 195,-2 0 0,2 7-190,2 4 0,-1 2-31,1 4 0,-2 6-51,-1 7 0,-2 3-85,-2 3 0,-3 3-45,3 3 0,-6 5 27,-4 3 0,-2-2-67,-1 1 0,0 0 37,0 4 0,-1 0 25,-2 3 1,-2-4 22,-5 3 0,0-3 6,0 3 1,-3-2-25,0-4 1,-3 2 0,3-5 0,-3-1-87,3-2 1,-1-1 97,1-3 1,2-1 76,-2-5 1,2 0-17,1 0 0,5-1 128,2-3 0,-2 2-100,2-4 1,0 2 255,3-2-246,0 4 1,4-3-40,3 5 0,5 5 11,1 1 1,1 6 21,-1 1 0,1 1-188,2-1 1,1-1-58,-4 4 1,4 0-59,-4 0 0,1 1 31,-1-4 1,-3 0-96,3-3 1,-2-1-13,-1-3 349,0 3 0,0-30 0,-1-2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6.7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78 7693,'6'0'0,"1"0"0,-4 1 401,3 2 1,1-2-97,2 3 0,-1-3-250,2-1 1,-3 0 2,6 0 1,-1-1-202,1-3 1,-1 2 27,4-4 1,-3 2-155,4-2 0,-4 3-353,3-4 1,-3 2 131,3-2 490,-4-1 0,-2-6 0,-6-7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7.0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 0 7685,'-1'7'231,"-2"-1"113,2-4 1,-4 7-258,5-3 0,-1 3-213,-2 1 0,2 4 100,-2 2 1,1 3 85,2 0 1,0 5-91,0 2 0,-1 2-67,-2 1 1,2-1-207,-2-2 1,2-2 44,1-4 1,0-2-544,0-2 418,4-2 383,1-8 0,14-54 0,1-17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7.5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85 7685,'4'-6'123,"0"2"-151,-2 4 0,-1 1 299,1 2 0,1 4-39,-1 6 1,-2 2-64,3 8 0,-3-3-84,0 5 1,0 1 13,0 3 1,0 2-221,0 2 0,0 0 65,-3 0 0,2-6 23,-4-4 1,3-4-7,-3 1-193,3-6 205,-1 0 0,3-10-68,0-4 0,0-5-27,0-8 1,0-5 60,0-4 0,3-5 78,2-2 1,2 0-50,-1-1 1,2-1 74,-1 2 0,1-1-35,-1-3 1,0 2 9,0 2 1,1 1 33,2-1 0,-3 4 124,3 4 1,1 8-120,-2 4 0,1 5 16,-3 1 0,1 6-88,-1 4 1,-3 3 58,-2 3 1,-1 1-115,-1 8 0,0 0-1,0 3 0,-1-1-104,-1 2 1,-2 0 147,-3-3 0,-1 3-13,1-1 0,-3-1 58,1-2 1,-3-4 8,2-2 0,-2 2 63,3-5 0,-1-3-97,3-3 1,0-3 124,-1-4 1,1 0 0,-1 0 1,5-4 107,1-3 0,-1 3-90,1-2 1,1-1 433,-1-3-202,2 5-194,0-4 0,0 8-278,2-2 0,3 6 90,1 4 0,2 1-263,-1 2 1,1 4-18,-1 1 0,2 3-150,1-3 1,2 3 71,-2-2 0,0-1-73,0 1 1,1-4 43,3 0 1,1-1 399,-1 2 0,7-7 0,2 3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0:37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29 127 7656,'0'9'0,"-1"-2"0,-2-1 0,2 1 112,-2 3 1,2-4-130,1 1 1,1-2-57,2 2 1,-1 0 241,5-4 1,-1 2 286,4-2 1,0-2-287,-1 2 1,1-2-75,0-1 1,0-1-101,-1-2 0,2-2 61,2-5 0,-2-1-57,2-2 1,-3 1 47,-4-4 1,3 0-128,-3-4 1,-1 4-19,-2 0 1,-2 3 34,-1-3 0,0 4 4,0-1 0,-4 3 60,-3 3 1,-1 3-195,-2 4 1,-3 0 4,0 0 1,-5 4-12,2 3 1,1 2 6,-1 0 1,1 4-191,-2 0 1,0 4 380,4-4 0,4 0 0,5-4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1:52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43 86 7846,'-7'-1'0,"0"-2"0,2 2-14,0-4 1,2 3 113,-2-3 70,-1 4-267,5-6 156,-2 6 218,3-2-199,0 3 0,3 0 53,1 0 1,3 3-187,0 2 0,1 2-62,1 3 1,-1 1 24,1 3 1,2 3 84,1 2 1,-1 4-97,1 0 0,-1 4 78,0 2 1,0 2 17,-1 4 0,-3 0 137,0-2 1,-1 0-34,-3-2 1,-1-1-28,-2-4 1,0-3 2,0-4 0,0-3 16,0-4 0,0-2 6,0-2-7,0-5-18,0 1 0,0-6-24,0-3 0,0-1 104,0-8 1,3-2-92,2-5 1,1-6-109,1-4 1,3-3 14,-1-1 0,1 0 29,0 0 1,-2-2-18,4-3 1,-3 5-25,3-2 0,-1 5-125,1 2 1,0 4 80,-2 2 1,2 6-170,-3 4 0,0 3-86,-2 4 1,0 0-550,1 0 457,-1 3 437,0 1 0,-3 12 0,-1 3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1:53.2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21 100 7811,'0'-4'-1948,"0"1"2028,0-1-35,0 4 0,0-4 75,0 1 173,0 3 57,0-7-243,0 6 368,-3-5-268,2 2 1,-4 0 398,2-1-447,1 3 0,1-2 190,-1 2-441,1 1 168,-2-2 1,3 4-102,0 1 1,0 2 67,0 3 0,0 1-78,0 1 0,0 0 31,0 3 0,2 2 19,1 2 1,0 3 17,-1-2 0,-1 2 14,1 0 0,1 2-76,0 0 0,-1-3 69,-2 1 0,3-4 58,-1-1 0,0 0-8,-2-5-153,0 0 0,0-4 71,0 0-21,0-4 146,0 3 0,0-10-162,0-1 1,0-2 49,0 2 0,0-1-67,0-1 1,-2 0 73,0-2 1,-2-1-168,2-2 0,1 0 48,-1 0 1,1-1 34,1-2 0,0 2 27,0-1 1,0 1 10,0 1 1,0-1 69,0-1 0,3 1-72,2 1 0,1 1 114,1 4 1,0-3-50,0 2 0,0 1 26,1 2 1,1 2-51,0 1 0,1 1 1,-3-2 0,0 4-49,0-1 0,0 1-14,0 1 0,1 0-51,1 0 90,-1 3 0,2 0-33,-3 2 5,0 1 1,0-2 24,-3 3 1,0-2 52,-1-1 0,-3-1 22,3 1 1,-2 1 8,-1 2 0,0-2 121,0 0 0,0-1-182,0 3 0,-3-2 33,1 0 1,-4 0-104,2 2 0,-3-3 87,0 1 1,0-1-185,0 1 0,0 0-59,0-3 1,0 3-94,0-3 0,0 3-79,0-2 83,0-1 1,0 0-409,0 1-266,3-1 971,1-2 0,9-3 0,2-1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1:55.1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57 7054,'-4'0'39,"2"0"3,4 0 1,3 0 114,5 0 0,1 1-34,3 1 0,4-1 12,3 1 0,2 0-94,5 0 0,0-1 0,7 1 1,0-1-66,5-1 1,0 0 100,2 0 1,-2 0-48,0 0 0,-3-3 22,1-2 0,-6-1-106,-1-1 0,-3 0 48,-2 0 1,-2 2-82,-2 0 0,-2 1 16,-1 0 1,-3 0-148,-4 1 1,1 3 97,-4-3 120,4-1 0,-12 4 0,1-3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1:58.0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78 205 7875,'-7'-1'-219,"0"-1"0,0 1-32,0-1 285,3 1 346,-2-2 1,4 1 243,-2-3-181,2 4-289,-1-5 0,3 4 0,0-3 0,1 3-44,1-3 1,2 4-107,3-2 1,3 0-42,2 1 1,1 0 82,1 2 1,3 0-132,-1 0 0,4 0 34,-1 0 1,1 0-106,1 3 1,-2 1 72,0 3 0,-3 0-38,3 0 0,-5 2 94,0 1 0,-5 0-12,0-1 1,-4 2 81,-2 3 1,-3 0-70,-3 1 1,-2 1 166,-4 0 1,-2 2-82,-3-2 0,-2-1-21,-1 1 1,0-1-43,0 0 0,2-1-3,-4 0 1,3-4-11,0-3 1,1-1-13,1-3 1,-1-1-6,-2-2 0,3-3 18,0-2 0,1-2 53,3-2 0,-1-2-50,1-3 1,1-1 175,2-2 0,3 2-83,2-4 0,1 2-45,1-2 0,1 1 33,1 0 0,3-2-3,4 4 0,5-5 95,5 0 0,2 2-107,3-2 1,-2 4 68,4-2 1,0 2-69,2-1 0,-3 2 38,-1 0 0,-2 3-81,-1 1 1,-3 4-146,-2-2 1,-4 5-234,-2 3-512,-2 1-926,-1 1 920,0 0 884,-3 0 0,-1 7 0,-3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1:58.7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15 7701,'8'-1'514,"1"-1"1,2 1-345,3-1 0,4 1-185,4 1 0,0 1 71,7 1 0,-2 0-90,6 2 0,-1-2 98,1 0 0,-1-1-116,-1-1 1,-2 0-331,1 0 1,-1 0 46,-4 0 335,0 0 0,-1-9 0,1-3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0.3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99 6285,'-4'0'1227,"0"0"-744,4 0 0,0 4-617,0 3 0,3 1 46,-1 4 0,4 3-15,1 4 0,1 2 34,1 2 1,1 2 72,0 1 1,-1 0 1,-2-2 1,-1-1 7,-1-2 0,0-3 1,-2-1 1,2-5 44,-3-3 204,0-1-200,-2-4 0,0-4 160,0-5 1,3-3-106,-1-3 0,3-2-40,0-6 0,1-2-66,1-3 1,4-2-127,0 0 0,0-1 56,1 1 1,-2 0-211,1 2 0,0 0 59,1 0 1,1 3 94,-4 0 1,3 3-656,-3 4 768,4 0 0,1 0 0,4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0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0 128 8221,'0'7'197,"0"0"0,0 0-167,0 0 0,1 3 0,1 2 0,0 4 72,3 3 1,-3 1-58,3 2 1,-2 1-52,2 1 0,1-1 75,-4-2 0,0-3-20,-2-1 1,0-5-108,0 0 0,3-6 94,-1 1-82,0-4 1,-2-4 75,0-6 1,0-3-53,0-4 0,3-4 2,-1-1 0,3-3-98,-3-2 0,3-2 90,-3 3 1,4-3 8,-2 2 0,0-2-87,1 0 1,-3 2 61,3 0 0,0 3 68,2 2 0,0 0-69,0 2 0,0 5 2,0 4 1,0 2 12,0 4 1,-2 0 1,0 2 0,-1 0 1,0 3 11,3 1 0,-6 3 125,4 0 1,-4 2-70,2 0 1,-2 1 168,-1-3 1,0 1-53,0 1 0,-3-1 22,1 1 1,-4 2-115,2-2 1,-3 1-121,0 0 1,0-3 140,0 3 1,0-2-5,0-1 1,-1 0-792,-1 0 0,0 0 313,-3 0 0,3-3 396,-3-2 0,-12-17 0,-6-4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1.8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7752,'0'4'779,"1"-2"-658,-1 2 0,2-3 46,-1 1 0,1-1 142,0-1 0,0 0-75,0 0 0,1 0-330,0 0 1,0-2 96,0-1 0,0 0 157,0 1 1,0 1-499,0-1 1,0 1-208,-1 1 0,0 0-681,0 0 859,0 0 0,0 0 369,-1 0 0,-10 9 0,-3 3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1.9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21 7752,'2'3'-59,"0"1"0,-1-4 723,2 0 1,-1 0-331,1 0 1,-1-1-375,1-2 1,1 2 66,-1-4 1,2 4-206,-1-1 1,0-1-612,0 1 0,0-1 789,0 0 0,1 3 0,0-4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4.5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289 8 8355,'0'-4'257,"-3"1"-161,2 3-11,-5 0-86,2 0 0,-3 1-10,0 1 0,-1-1-45,1 4 1,-2-1 79,0 0 0,-4 2-31,1-1 0,1-1 34,0 0 1,1 0-6,-2 1 0,1 0 29,1 0 1,-3-1 13,4 1 0,-2-3 32,2 3 0,1-3-53,-1 2 0,1-2 106,1 3 0,2-4-121,1 2 1,1-2-2,-2 2 1,4-2-35,-1 4 1,0-2-11,0 1 1,1 4 11,-1-1 1,1 0-15,1 4 0,0 2-90,0 2 1,1 4 55,1 4 0,1 1-68,2 6 0,1 2 94,-1 5 0,-1 5-2,0 4 1,-2 6 24,0 2 1,-1 0 4,-1 1 0,-1 3-11,-1 2 1,-2-4 7,-3 2 1,0-3 8,0 0 0,0 0-12,0 3 0,0-7 172,0-1 1,2-6 37,0-5 0,4-2 32,-2-2 0,2-8-109,1-5 1,0 0-29,0-7 0,4 1-183,0 0 1,2-4 118,-2-1 1,5-2-175,-2-3 1,2-2 36,-2-2 1,3-1-593,2-1 0,2 0-36,2 0 728,-1-6 0,42-38 0,8-15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5.2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13 220 7564,'3'-4'429,"0"0"-243,4 1 0,0 2-119,2-4 1,0 4 63,2-1 0,3 0 137,0 2 1,0 0-221,2 0 1,-2 0-124,3 0 0,-2 2 7,0 0 0,-3 1 70,-1 4 1,-3 1-36,4-1-1,-7 2 35,2 3 0,-6 0 16,2 2 0,-2-1-8,-1 1 1,-1 1 8,-2 1 0,-3-1-4,-1 3 0,-5-2 10,0-1 0,3 1-49,-2 0 0,0 1 42,-2-4 1,0-1-46,0 0 1,0-4 25,3 1 0,-3-5-2,2 2 1,2-5-3,1 1 0,-1-4 2,-1-3 1,2-1-1,2-3 0,-1-2 2,0-3 0,1-3 2,2-2 0,1-3-27,0-5 1,3-1-3,-3 1 0,6-1 28,0 1 1,5 1-4,3-3 0,1 5 33,5 0 0,3 2 77,1 4 0,4 2-108,-1 1 0,1 2 10,1 2 0,0 2-460,1 4 1,-3-1 186,-2 2 0,-1-1 265,-1 2 0,5-14 0,-1-5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5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99 9159,'0'7'102,"2"4"-56,0 3 0,4 1-3,-1 4 0,2 3-8,2 3 0,-1 3-48,1 0 0,-2 0 74,-2 1 1,1-4 62,-1-2 0,-1-3-41,1-1 163,-1-7-129,3-2 1,1-7 8,-1-6 1,0-4-4,3-5 0,-2-5 12,4-4 0,2-3-117,3-4 1,2-1-139,-3 1 0,1 0-495,-3 0 1,0-1 313,0 1 0,0 1 301,0 1 0,6-23 0,2-4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6.1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155 1 7652,'-4'0'-812,"0"0"395,2 0 320,-2 0 1,-3 0-61,0 0 1,0 2 439,0 0 1,0 6-201,0-1 0,-1 3 127,-1-1 1,1 1-43,-2 2 0,3 1 40,-1-1 1,2 1-73,1 1 1,2 1 13,3-1 0,0-3-56,0 1 0,3-3 11,2 0 0,1-1 62,2-1 0,-1 0-44,3 0 0,-2-2 50,1 0 1,-1-3-63,-1 3 0,0-4 6,0 2 0,-1-2-6,-1 1-250,1-1-200,-5 2 239,2 1 0,-6-3-351,-2 4 1,-1-3 163,-1 3 1,-2-1-438,-1 0 0,-2 3 20,0-3 704,-1 0 0,-17 2 0,-4-2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6.8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18 7713,'7'0'0,"0"0"39,0 0 1,-2 1-39,-1 1 1,-2 2 136,0 3 0,-1 1-71,-1 2 1,0 1 99,0 3 1,0 0-131,0 0 0,0 0 0,0 0 0,0-2-4,0 0 0,0-4 7,0 2 1,1-3-86,1-3 1,2 0 50,3-4 1,3-4-212,-1 0 1,3-6 27,0-1 0,4-4 52,0-1 0,1 0 106,-3-3 1,0 4-12,0-2 0,-2 2 80,0 1 0,-4 3-138,2 2 118,-6 1 1,0 5-38,-1 3 0,-3 4 123,3 5 1,-3 0-16,-3 3 1,3-1 64,-3 4 0,2-1-119,-2 0 1,3-2 4,-3-1 1,3-2-184,0 0 175,0-1 1,0-4-200,3-2 0,1-1 103,3-1 0,-3-3-18,1-2 0,0-3 39,2-2 1,2-2 7,1 0 0,-3 2 71,-3 0 0,0 3 386,1 0 39,1 0-357,-2-1 0,0 8-43,-2 2 0,0 4 19,0 4 0,-1 3-63,1 3 0,-1 4 21,-1-1 1,0 2-17,0 3 1,0-2-11,0 1 0,0-1-5,0-1 1,0 0 2,0 1 0,0-5 13,0-3 0,0-1-108,0-3 1,0-3 57,0-3-92,0-2 1,0-1 12,0-5 0,1-1 18,1-4 1,-1-3 43,2-2 0,-2 0-14,1-3 1,-1-1 7,2-1 0,0-2 3,-1-2 0,3 1 77,-3-2 0,4 0-66,-2 0 1,3 2 191,0 3 0,1-1 43,1 4 0,0 2 73,2 5 0,0 2-138,1 2 1,1 2 60,-4 3 0,3 3-96,-3 2 1,0 1 10,-5 1 0,0 3 22,-4-1 1,0 4-12,0-2 0,-1 0-207,-2 1 0,0 0-206,-4 2 0,-3 0-247,1 0 1,-4-2-11,1 0 1,-1-1-1155,-1 1 1691,0 1 0,-28-2 0,-8 3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7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81 191 7728,'-14'7'0,"2"-1"-192,1 1 0,-1-3 279,2 1 0,2-4 984,2 2-464,2 0-426,1-2 0,6 3 139,4-2 1,4-2-80,4 3 1,5-3 82,4 0 0,6-1-77,4-2 0,2-2-38,4 1 0,5-2-43,4-1 1,6-1 0,5-2 0,4 0-6,2 0 1,0-1-217,1 0 1,0-1-236,2-1 1,-8-1 181,-2 1 1,-7 1-869,-5 1 1,-6 0 450,-6 3 0,-8 3 525,-4-2 0,-38-13 0,-13-5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8.6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37 0 7722,'-5'0'207,"1"0"-136,-2 0 383,-1 0-423,0 0 0,2 2-367,2 3 1,6 0 284,2 9 1,2-1 150,0 7 0,3 0-89,0 8 1,2-3 6,-1 5 0,2-1 114,-4 1 1,1-1-91,-3-1 1,2-3 72,-2 0 1,-4-5 33,1-5 1,-1-3 25,-1-3 1,1-4-81,0-3 0,-1-1 11,3-1 1,-3-3 81,3-4 1,3-6-51,2-6 0,3-1-283,0-2 1,1-6 80,0-2 0,5-1-524,-2 2 0,1-1 158,-3 1 1,0 1 429,-1 0 0,5 10 0,0-5 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9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121 0 7763,'-3'4'-134,"-2"-1"1,1-3-135,-1 0 1,1 3 0,-3-1 0,0 0 107,0-2 0,2 3 103,0-1 0,1 4 57,0-2 0,-3 1 0,3 2 0,0-1 264,-1 3 0,3 2-155,0 1 1,-1-1 331,1 0 0,-1 1-157,3 2 1,0-2-59,0 0 1,1-3-158,1 3 1,1-3-57,2 0 1,1-1 36,-1-1 0,4-2 12,0-1 1,1-2 40,-3 0 0,0-1-29,0-1 0,0 0 71,0 0-147,0 0 0,-1-1-2,-1-1 1,-1 1-60,-2-1-324,-1 1-13,-4 1 0,-3 0 171,-5 0 0,1 1-122,-2 1 1,1 1-63,-3 2 413,-1 4 0,-11 5 0,-4 8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09.7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7727,'7'0'0,"0"0"0,0 0-142,0 3 0,-3 1 47,-2 3 0,1 1 127,0 1 0,-1 2 26,-2 3 1,0 4 118,0 0 1,0 0-130,0-2 1,0 1-24,0 0 1,0-3-49,0-2 31,0-4 0,3-1-5,2-4 1,2-4 15,2-4 0,0 0-27,3-7 1,0-1 5,2-3 1,2 0 3,1-3 1,-1 3 40,-2-3 1,0 4 9,-3-2 0,2 3 89,-4 2 0,1 2 11,-3 3-226,-3 3 1,0 4 114,-2 5 0,-1 2-116,1 2 1,-1 3 29,-1 4 1,0-1 20,0 2 0,0-2-14,0-1 1,2-2-14,1-1 0,0-2 18,-1 0 23,-1-1 1,5-2 34,-1-1 0,-1-2-29,0-3 0,1-3 118,2-2 1,0-2-71,0-2 0,0 1 126,0-1 1,0-1-53,1 0 0,-4 1 41,1 2 0,-3 0-89,3 3 1,-3-2-13,3 4 0,-3 0-65,3 2 0,-3 3 72,3 1 1,-3 3-187,3 3 0,-2 2 33,1 4 1,-2 0 43,0 3 1,1-1 13,0 0 1,-1 2 6,-2-4 1,0 4 34,0-1 1,0-4 80,0-1 0,0-2 20,0-1 0,0 0 16,0-4 59,0-3-135,0-1 1,-1-3 105,-1 0 1,1-3-123,-1-2 1,1-4-12,1 0 0,0-5 12,0 0 0,0 0-100,0-2 1,0 0 42,0 0 1,0 0 48,0-3 0,1 3 17,1 0 0,2 1-20,3 1 0,2-1 4,1-1 0,2 3-30,0-1 1,-1 5-1,1-1 1,0 3-5,2 2 1,-3 2-23,-2 3-85,-4 0 111,1 0 1,-5 3 96,1 2 0,-4 1-72,-3 1 0,-1 3-24,-1-1 0,-1 1-38,-1-3 0,0 2-111,-3 1 0,3-1-337,-3-2 1,1-1 205,-1-1 1,0 1-405,2-1 0,-1-2-21,1-1 702,1-1 0,-1-13 0,-1-4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0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486 0 7793,'-9'0'1,"0"0"0,-2 0-79,2 0 1,-2 0 71,-3 0 0,-1 3 188,-2 2 0,-1 7-76,-3 4 0,-4 7 93,-3 7 0,-4 6-13,-6 9 0,1 5 170,-3 9 0,4 4-161,1 11 1,7-1 77,7 4 0,6 2-277,5 3 1,6 1 142,1 3 1,6-5-407,4 0 1,7-8-109,5-6 1,3-7-314,3-6 0,5-9 309,8-8 379,4-12 0,3-1 0,4-6 0,2 1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1.2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207 0 7730,'6'4'-243,"-1"-2"0,-3 0 400,3-1 0,0 4-65,6 1 0,-2 5-56,5 2 1,4 5 49,3 7 1,5 4 76,1 6 1,-1 4-59,-2 4 0,-1 4 82,-1 1 0,-5 8-136,-2 1 0,-10-1 4,1 1 0,-7-1 11,-6 1 1,-6 2 28,-12-1 1,-2-6-186,-4-3 0,-3-3 36,-4-1 0,-2-3 88,-2-4 1,5-8-306,0-3 1,4-6-441,1-6 1,6-2 710,4-9 0,-3-25 0,2-10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1.6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50 7711,'0'-7'0,"0"0"0,1 0-149,0 0 1,0 0 179,1 0 1,1 3 173,1 1 1,1 3-62,0 0 0,3 0 11,-1 3 1,3 1-17,-1 3 1,0 2 10,0 1 0,-2-1-102,3-2 1,-3 2 59,0 1 1,-1-1-147,0-2 0,-2 3 37,-1-1 0,-2 1-44,1 0 0,-1-2 47,-1 4 1,-3-2-93,-1 1 0,-2-1 48,-2 1 1,-1-2 2,2 0 1,0-1-63,1-1 1,0-2 90,1 0-213,-1 0 37,3-2 83,1 1 0,4-4-13,1 0 0,3 0-101,2 0 1,-1 0-191,4 0 0,0 0 137,4 0 1,0 0 269,4 0 0,23 9 0,7 3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1.9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0 106 7673,'0'4'792,"3"-1"-631,2-3 1,1 0 15,1 0 1,3 0 145,2 0 0,5 0-218,1 0 0,3 0-143,0 0 1,3 0-6,2 0 0,-2-2-161,0-1 0,-2-2-25,-1 0 1,-2 1 75,0 0 0,-7-1-503,0-2 0,-4 0 656,-3 0 0,-21-22 0,-8-6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2.1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0 7665,'-3'5'196,"-2"0"0,1-2-32,-1 2 1,4 4-360,-2-2 1,3 5 41,0-1 1,0 4 151,0 1 0,0 2 91,3 3 1,-2 0 8,4 1 1,0-1-169,2 0 0,-1-3-181,-1-2 1,1-1 249,-1-1 0,7-6 0,3-2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3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276 27 7683,'0'-3'-228,"0"0"130,0-1 314,0 3 0,0-2 208,0 1 14,0 1-321,0-2 0,0 1 138,0 1-87,0 0-53,0-2 1,0 4-63,0 1 0,-3 2 43,-2 2 1,-2 5-1,-3 3 0,0 3-14,-5 6 1,-2 3-37,-2 9 0,-2 7-8,-2 10 0,-2 9 28,-1 5 0,3 6-191,4 8 1,3-6 90,4 1 1,2-3-74,3-1 154,3-4-16,1 1 1,3-7-151,0 1 1,3-6-57,1-4 1,3-3-87,0 2 0,2-9 22,1-3 1,2-4-181,0-3 0,2-2-304,2-3 1,3-5 369,2-4 1,0-6 436,0-3 1,13-20 0,3-4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5.2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21 142 7055,'4'-4'1071,"-3"0"-969,4 4 1,0-2-15,2 0 1,2-1 0,0 3 0,4 0-43,-1 0 1,1 0-109,1 0 0,1 0-29,2 0 0,-3 4 82,3 0 1,-3 3-66,-2 0 0,-2 0 37,-3 0 1,0 2-12,0 0 0,-3 2 51,-2-2 1,-1 2 84,-1 3 1,-4-1-35,-3 1 0,-1-2 19,-3 5 1,-1-2 13,-2-1 0,0 0-43,0 0 0,-1-1 100,-2-1 0,2-2-71,-1-3 1,3 0 3,1 1 0,2-5-19,-2 0 0,2-2 0,3-1 0,-1-4-75,1-3 1,3-1 76,-1-4 1,3-2-81,0-3 1,1-2 63,1 0 0,1-1-82,1-2 1,3 1 24,5 0 1,1 2-3,6 0 0,1 1 52,3 0 0,1 0 1,1 4 1,3 3-209,2-1 0,-2 3 59,-1 0 0,1 3-539,-1 2 1,1-1 649,-3-2 0,12-16 0,5-4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5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191 1 7809,'0'4'228,"-3"1"1,-1-2-97,-3 4 0,0 0 172,0 4 1,-4 7-246,-3 6 0,-1 10-50,-4 6 1,1 8-13,-4 9 1,4 2 69,2 5 1,3-7-73,3-3 0,4-9-112,6-5 1,3-7-231,2-2 1,4-8-1,3-4 1,4-7-648,3-2 994,5-6 0,20-19 0,7-9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6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64 113 7688,'0'7'0,"0"0"0,0 0-270,0 0 0,0 3 174,0 2 1,-2 2 185,0 3 0,-3 1-73,3 3 0,-2 0 142,2 0 0,1 1-89,-4 2 1,1-5 130,-1-1 0,-1-2-91,1-2 1,1-2-22,0 0-72,2-7 0,-2 1-17,2-6 0,1-3-95,-1-1 1,1-3 29,1-3 0,1-1-120,1-3 1,0-3 97,2-2 1,1-1 19,2-2 1,0 1 74,0 0 0,0-1-71,0-1 1,1 1 184,1-2 0,0 0 9,3 0 1,0 0-75,2 1 1,2 4 24,1 0 0,1 6 132,-1 4 0,2 4-98,-3 3 1,1 4-11,-3 3 0,-2 4-78,-1 0 1,-4 4 38,0-2 1,-5 3-13,0 0 0,-1-1-30,-1-1 0,-1 1-21,-1-1 1,-5 1-16,-5 1 1,0-2-101,-2 0 0,2-4-34,-5 2 1,2-2 82,-2-1 1,5-3-11,-3-2 1,3-1 36,-2-1 1,3 0-53,1 0 0,3-3 47,0 1 1,2-3 11,0 0 1,3 1 20,-3-1 0,4 3 83,-2-3 0,3 4-34,3-2 0,0 3 119,5 0 1,-1 0-52,0 3 0,0 1-41,3 3 1,1 0-84,3 0 1,0 0 21,0 0 1,0 0-92,0 0 0,1 0-41,-1 0 0,0-1-228,0-1 0,-2 1-791,-1-1 578,-2-2 565,1 0 0,-22-6 0,-4-1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6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50 7688,'-4'7'506,"2"0"-269,-2-3 0,4 2-171,0-4 1,6 0 123,6-2 1,2 1 110,3 2 1,4-3-42,5 3 1,3-2-1,4-1 1,3 0-60,9 0 0,1 0 0,4 0 1,-1 0-85,1 0 0,0 0 86,1 0 1,-4-3-482,0 1 0,-3-1 161,-1 0 0,-3 2 97,0-4 0,-10 3-594,-2-3 1,-8 3 613,-6-3 0,-53-19 0,-17-6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7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28 7665,'0'7'0,"0"0"0,0-2 121,0 0 1,2 0 220,1 4 0,-1 0-548,-2 3 0,2 0 31,1 5 1,2-1 353,-3 2 0,1 1-122,-1 2 1,-1 1-54,1 2 1,-1-2 8,-1 1 1,0-4-2,0-2 1,0-3-10,0 1 1,-2-4 17,0-2-234,-1-4 163,3-2 0,0-9-124,0-1 1,1-5 34,1-2 1,0-4 31,3-3 1,2 0 66,2 0 1,1 0-12,-3 0 1,0-4 70,3-1 1,-2 2 164,4 1 1,-2 1 163,1 0 0,1 2-138,2 1 1,-2 5-139,0 5 0,-4 4-36,2 3 1,0 2-97,-1 2 0,-2 2 83,-2 3 0,-3 3-130,0 2 0,-1 1 94,-1 1 0,-1 0-36,-1 1 1,-3-1-94,-4 0 1,0-2 78,-3-1 1,0 0-89,-2 1 1,3-2 24,-1-3 0,0 0 26,-2 0 1,3-3 67,2-1 1,1-3-15,1 0 92,0 0 367,3-3-269,1-1 0,3 0-113,3 2 1,1 1 49,3 1 0,1 3-57,1 2 1,0 1-17,2 2 1,0 1-54,1 0 0,1 0-162,-4-4 1,3 1-197,-3-1 1,1 0 161,0 0 0,-2-2 240,1-3 0,-1-13 0,-1-2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7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57 7641,'7'3'0,"0"-1"-124,0 3 1,4-4-259,0 2 0,1-3 337,2 0 0,1-2 332,4 0 1,1-1-374,-1 0 0,-1 0 17,1-2 0,-4-1 69,-1 1 0,-9-13 0,-6-5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7.3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7632,'0'7'0,"0"0"0,0 0 0,0 1 1,0 2 57,0 1 1,1 2 19,1-1 1,-1 3-162,2 0 0,-2 1 90,1 0 1,-1-1-230,2 2 1,-3-2-53,0-1 0,3-2-86,-1-1 1,0-2 243,-2 0 0,0-3 116,0-1 0,7-26 0,1-3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7.8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49 7631,'0'-7'-35,"2"2"0,0 1 405,4 2 0,-5 0-65,4 7 0,-3 3-156,0 6 1,1 3 0,-1 2 0,1 2 0,-3 0 0,0 0-125,0 0 1,-1-2-209,-1 0 0,0 0 96,-3 2 1,1-4-150,0-3 1,-2-1 42,4-3 1,-3-1 105,3-2 0,-1-3-37,0-2 63,3-1 1,-4-5-88,4-3 0,0-3 59,0-4 1,3-1-107,-1-1 0,4 0 158,-2-3 0,3 0 6,0-2 0,0 0 132,0 0 1,0 0-53,0 0 0,2 0 135,1 2 0,1 0-34,-1 5 0,2-1-94,-3 6 0,0 3-15,-2 3 1,0 3-34,-3 3 1,0 1-17,-4 3 0,-1 3-25,-2 2 0,0-1 142,-5 0 1,1 1-68,0 2 0,-2-2-37,0 0 0,-2-3-8,2 3 0,0-1 4,-2 1 0,2 0 15,0-2 0,1 1-5,1-1 1,0 2-27,3-3 1,-2 3-22,4-3 1,2 1-31,2-3 0,6-1 55,-1-1 1,5 0-184,0-3 0,1 1-72,1-3 0,2 0-85,1 0 0,-1-1 96,-1-1 0,1-2 255,0-3 0,4-22 0,-2-6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8.0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32 7621,'0'10'-200,"0"-1"-51,0 3 1,0-3 246,0 3 1,0-3 155,0 3 0,0-3 19,0 0 0,1 0-106,0 0 0,0-2-158,0 0 1,0-1 135,1-3 0,0-1 135,0-2 1,0-3-182,0-2 1,0-4-5,0-3 0,-1-1-41,1-1 0,-1 0-146,0 3 1,0-3 32,-1 3 0,-1 0-117,0-1 0,-1 3 51,0 0 1,0 2-108,-1 2 334,1-1 0,-4 11 0,0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8.3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163 1 7637,'7'3'2,"0"2"0,0 0 125,0 3 0,3-1-105,-1 2 0,4 1 374,-2 4 1,6 2 11,2 3 1,2 4 0,2 2 0,-1 4-205,2 3 0,-3 2-109,-2 2 0,-2 2 61,-3 3 1,-6 0-78,-3-1 1,-5 2-122,-5-1 0,-4 2 64,-7 2 1,-3-2-218,-4-3 1,-3 0-114,-2-2 1,-3 0-262,-2-2 1,2-4 80,0-4 1,4-4-856,1-6 1343,4 0 0,-34-20 0,-4-4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8.7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146 181 7640,'-19'1'0,"1"1"0,-2-1 0,2 1 0,1-1-588,2-1 0,4 0 459,0 0 1,6-1 733,-2-1-382,5 1 0,0-2 102,4 3 1,1 0-166,4 0 1,1-1-33,3 0 1,5-1 25,4-2 1,2 0-7,8-2 0,4 1 5,6 0 1,5 1-46,5-2 0,7 2-16,9-1 1,8 1-274,13-3 1,-39 4-1,-2 0 220,3 1 1,0-1 0,1 1 0,2-1-34,1 0 1,0-1 0,-4 1 0,0 0-82,1-1 1,-1-1-1,-1 0 1,-1 2-152,0-2 1,0 0-1,0-1 1,0 2 74,1-1 1,-2 0-1,37-2-732,-7 0 1,-9 0 426,-9 1 1,-7 2 455,-8-1 0,-10 4 0,-6-4 0,-11 3 0,0-1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19.5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127 1 7740,'-4'0'925,"-2"0"1,4 0-743,-2 0 0,1 0 3,-2 0 0,3 0-98,-3 0 0,1 3 82,-3 1 0,0 4-182,0 3 1,0 2-41,-1 11 0,-2 1-18,-2 11 0,2 9 11,1 6 1,2 5-108,2 5 0,2 1 11,3 1 1,0-6-100,0-3 1,3-7-257,2-9 0,3-6 200,2-5 1,2-11-454,0-3 763,2-6 0,18-23 0,6-5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0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0 120 7649,'0'-4'941,"0"0"-1112,0 2 103,0 1 74,3-2 1,-2 4 23,1 1 0,-1 3 107,-1 4 1,2 2-178,1 3 1,-1 4-1,-2 0 0,0 3 27,0 0 1,0 0 20,0 0 1,0 0-88,0 1 1,0-5 36,0-3 1,-1-1-82,-1-3 1,1-3-73,-1-3 105,1-2 0,1-3 56,0-6 0,1-3-30,1-4 1,2-3 48,3-2 0,1-4-41,1 0 0,0-3 106,3 2 1,-3 0-31,3 0 1,-3 2 117,3-4 0,0 3-70,2 0 1,0 4 107,0 2 0,-2 5-84,0 0 1,-1 6-23,0 2 0,2 3-161,-4 3 1,1 5 94,-3 5 0,-1-1-26,-1 1 0,-2-1-3,-3 1 0,0 1-20,0-1 1,-1 0-29,-1 0 1,-2 1 6,-3-4 0,-3 1-26,1 0 0,-3-3-97,0 3 1,1-3-35,-1-2 0,0 0 99,-2-3 1,2 1 203,1-3 0,2 0-61,0 0 1,1 0 77,1 0 1,2 0-69,0 0 1,4-1 159,-2-1 0,3 1-27,3-2 0,-2 3-16,4 3 1,2-2-180,2 4 0,4 0 91,-1 2 0,-1-1-366,1-1 1,-1 1-31,3-1 1,-2-1-478,0 0 815,0 1 0,-4-1 0,-2-1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0.4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28 7648,'0'7'-85,"0"0"172,0 0 0,4 0 161,3-3 0,5 0 31,7-4 0,3 0-118,9 0 1,4 0 477,5 0 0,7-1-210,3-2 1,4 3-140,3-3 1,-3 2-192,2-2 1,-2 3-150,1-3 0,-3 0-150,-2 1 1,-8-1-446,-5 0 0,-4 2 109,-8-1 1,-3-1-1180,-6 1 1715,-7-1 0,-22-9 0,-10-4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1.0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38 7648,'-3'7'0,"1"0"133,-2 1 0,2-1 164,0 3 1,-1-3-420,0 2 0,1-2-446,2 4 1,0 1 405,0 3 0,0 0 339,0 2 0,0 0-104,0-2 0,0-1-105,0 3 1,0-2-27,0-1 1,-1-1-1,-1-2 1,1-2 8,-1-3-30,1-2-64,1-1 104,0-9 0,1-1 94,1-6 1,-1-2 31,4-2 0,0-2-102,2 0 1,1-1 194,1 1 1,-1-1 45,1-1 0,-1 2 45,-1-2 0,3 6-100,-1-3 1,1 4-56,0 1 1,-2 3-51,1 2 1,1 1 8,0 3 1,-1 2-202,-2 4 1,-1 1 49,-1 4 1,-2-1-86,-3 1 0,0 2 10,0 2 1,-1-1 41,-1 1 1,-2-1 28,-3 3 1,0-3 0,0 1 1,-2-1-81,-1 1 1,0-1-43,1-2 1,0-1 17,-3-1 1,3 0 89,-3-1 1,3-2-91,-3-1 0,3-2 183,0 0 0,1 0 0,1 0 0,3 0 0,1 0 47,9 0 0,0 0 157,5 0 1,0 1 57,1 1 0,2 2-76,0-1 0,0 4-81,3-4 1,-2 1-108,-1 1 0,2-1-248,1 3 1,-1-4 76,-2 2 173,1-3 0,-1-2 0,0-4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1.1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43 7629,'8'5'-123,"1"0"0,-1-4 36,1 2 1,2-3-62,-2 0 0,4 0 52,-2 0 0,0 0-106,1 0 1,-2 0 11,1-3 1,0 2 189,1-4 0,-8-15 0,-5-7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1.3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7629,'0'8'0,"0"-1"300,0 0 1,0 0-230,0 0 1,0 3-441,0 2 1,0-1 187,0 4 0,0-3 8,0 5 0,0 1 41,0 0 0,0 0-101,0 1 0,0-3-98,0 0 331,0-1 0,3-10 0,1-3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1.8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39 7626,'1'-8'0,"1"-1"425,-1 1 122,5-2 0,-3 6-580,2 4 0,1 7 9,-1 4 1,-1 6 31,0 2 0,-1-1 57,1 1 1,-2-1-111,0 0 0,-1 2 8,-1-4 1,0 3-150,0-2 1,0-1 44,0-2 1,-1-3-71,-1-1 0,1-2-299,-1-1 221,-2-4 161,3 1 0,-4-8-24,2 0 1,1-6 132,2-1 1,0-3 16,0 0 0,0-2 175,0-1 1,2-2-39,1 3 0,1 0 143,-1 1 1,2-1-41,0-1 1,2 1 32,2 2 0,0 3 17,3 2 0,-3 1-44,3 1 1,-3 0-71,3 3 0,-6 1-245,1 3 0,-2 0-359,0 3 0,-2 1 308,-3 3 1,0 0-46,0 3 0,-1-2 85,-1 4 0,-3-1-32,-4 1 0,0 1 135,-3-4 0,3 3-39,-3 0 1,4-1 161,-2 1 0,2-3-19,1 3 1,0-2-83,0 1 0,2-2-52,1 0 0,2-1-4,0-1 1,1 0-86,1 0 1,3-3-186,2-1 0,1-3-143,1 0 0,0 0 158,0 0 0,3 0-18,-1 0 0,3 0 286,-3-3 0,13-10 0,1-6 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2.0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99 7613,'5'3'0,"0"2"0,-3 1 31,3 1 1,-3-2 125,3 0 1,-3-1-75,3 3 0,-3 1 113,3-1 0,-3 0 196,3 0-339,0 0 0,2-1-198,0-1 1,0-2 152,0-3 1,0-1 79,0-1 1,0-5-280,0-2 0,0-4 99,0-1 0,0-1-124,0-4 1,-3 3-50,-2 0 1,-1 1-155,-1 1 1,-3 0 168,-2 0 1,-2 3 249,-2 4 0,-2 3 0,-3 4 0,0 0 0,-13 19 0,-3 5 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2.29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49 7613,'0'-10'0,"0"1"0,0-3 0,1 2 145,0 6 0,1 1-61,2 3 0,2 0 346,1 0 1,0 6-26,1 3 1,1 4 69,1 0 1,-1 3-170,2 0 0,-1 6-94,1-2 1,1 7-47,-2 0 1,1 1-60,-2 4 0,-3 1-70,-2 0 1,-1 6 105,-3 2 0,-4-1-237,-1 2 1,-5 0-219,-2-3 0,0-2-368,-3 0 1,1-8 10,1-4 0,0-7 669,1-4 0,1-12 0,1-7 0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4.4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263 1 7680,'4'3'-648,"2"-1"400,-1 2 0,1 2 426,2 3 0,5 4 0,4 5 0,4 5 16,5 8 1,-2 4-131,7 5 0,-6 6 12,3 3 1,-5 4-45,1 6 0,-6-2 45,-4 2 1,-3 1-86,-4 2 1,-3 4 21,-2 5 1,-2-2-139,-5 4 1,-1 0 195,-8 4 0,-2 1-3,-5-1 1,-1-5 57,-2-4 0,1-6 159,-2-3 0,-2-3-73,-4-2 0,2-2 89,-1-5 0,2-1-179,2-1 0,0-1 48,-5 3 1,2-6-448,-2-1 0,5-7-49,0-5 0,3-7-261,0-7 1,7-7 473,4-7 112,4-9 0,7-81 0,1 32 0,1 0 0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4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7670,'6'3'0,"1"-1"0,0 1-354,1 0 0,-3-3 30,1 3 1,0 1 450,-1 0 1,1 3 48,0 0 1,-1 3 65,1 2 0,-2 0-154,0 0 1,-1 1 62,-3-1 0,0 2 102,0 3 1,-1-3-98,-1 0 1,1-1 17,-3-3 1,1-1 34,-3-2 0,3 0-47,1 0 0,-1-2-166,2 0-250,-1-4 1,2 2 105,3-3 0,0 0-40,2 0 1,4-1 120,2-1 0,2-2 6,4-3 1,3-1-208,0-1 1,3 0 267,0-2 0,8-11 0,3-3 0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5.3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113 8 7729,'6'-1'2,"-2"-1"0,3 1-2,0-1 1,3 1 9,3 1 1,1 0 107,1 0 0,2 0 194,3 0 1,0 0-161,1 0 1,-4 1 36,1 1 1,-1 1-149,1 2 1,-2 2 62,-3 0 0,-2 1-30,0 3 0,-3 1 20,1 2 1,-4 4-37,0 0 1,-3 6-13,0 2 1,-2 2-3,0 3 1,0 5 58,-2 6 0,0 4-26,-3 6 0,1-1-65,-2 3 1,-1 3 60,0 4 1,-2 4-102,1 3 0,-2-2 55,4 4 1,2-3-9,-1 1 0,3 0 17,0 3 1,1-7-12,1-3 1,3-6-43,2-3 0,0-5-16,-1-2 1,2-6 166,-1-4 0,0 0-34,2-5 0,-1 1-29,0-3 0,-1-1 28,4-1 0,-1-1 129,-2-4 0,-2-2-116,-2-1 1,-1-5 23,-1-1 0,-3-4-117,-1-1 1,-6 0 56,-3 1 1,-1-2-311,-4-2 1,-3 2-51,-3-4 0,-3 1-187,-2 0 0,2-2 32,-2 1 1,-1-4-319,2-3 1,-3-5 60,2-1 696,0-6 0,-1-26 0,0-9 0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5.7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84 7692,'10'-15'0,"2"-1"0,-1 3 126,0-1 0,-2 5 266,0 0 0,0 4-220,1 3 0,-2 2 32,4 2 0,-3 5-212,0 5 1,-1 1 105,-1 1 0,-2 1-132,-1 1 1,-1 2 35,1 1 1,-2 0-58,0-2 1,-1 0-117,-1-1 1,0-1-338,0 2 0,-1-2 91,-1-1 1,-2-3 416,-3 1 0,-10-16 0,-1-1 0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5.9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0 7678,'-5'5'459,"0"0"-537,4-4-391,-2 2 459,3-3 1,3 0 139,1 0 0,6 0-93,2 0 1,2 0-48,2 0 0,2 0-1,3 0 1,1 0-98,2 0 0,1 0-154,3 0 1,0 0 27,-3 0 0,1 0 234,-4 0 0,-12-6 0,-8-2 0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6.1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0 7687,'-4'4'-275,"1"-1"1,4-3 413,1 0 1,3 0-163,4 0 0,3 3 0,4-1 0,1 0 141,4-2 0,-1 4 204,3 0 1,-1 3-311,-1 0 0,1 0 28,-1 0 0,-4 1-164,-3 1 0,-4-1 59,-5 1 1,-3 0 32,-4 0 0,-5 1 14,-5 2 0,-1 1-12,-1-4 1,-3 4 57,1-2 0,-1 0 165,3-2 0,4 1-84,3 0 0,1-1 6,3-2 1,1-2-316,2-1 0,6-2-136,4 0 0,4-2 336,5-2 0,50-40 0,-26 15 0,1 0 0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7.0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63 7702,'7'-7'1,"2"0"-1,0 0 1,2 3-616,-2 1 1,-1 3 317,1 0 0,-1 7 306,-1 4 0,0 6 15,0 4 0,0 1 15,-3 1 0,0 0-2,-1 3 1,-3-3 159,3 0 0,-5-2-63,0-2 1,-3-1-82,3-4 1,-4-3 60,2-2-120,0-4 5,1-2 1,1-4-17,0-1 1,-1-3-22,3-4 0,0 0-23,0-3 1,0 1 41,0-4 1,0 2 43,0 1 0,1-1-39,1 1 0,-1-1 162,1-1 1,2 0-56,-2 0 1,3-1 34,-3 1 1,1 0-64,0 0 0,0 0 18,1 0 1,0 1-51,-1 1 0,-2-1 32,4 4 0,-4-1-21,2 3 1,-2 3 57,2 2-12,-2-2-71,2 3 1,-3-1-2,0 4 0,0 0 44,0 3 0,0 0 1,0 5 1,0 1 3,0 3 0,0 3-20,3 2 0,-2 2-6,1 2 1,1 2 4,-1 1 0,1 2 10,-3 0 0,2 0-19,0 3 0,1-3-6,-3-2 0,2 1-14,1-4 0,-1 0-4,-2-4 0,0-5-33,0-5 0,0-1 81,0-1-59,0-3 0,0-2 57,0-4 0,1-2 5,1-3 1,-1-1-106,1-1 0,1-2-103,0-3 1,2-4-77,0 0 0,-1-3-253,0 0 0,-1 0-691,2 0 1164,-4 0 0,-7-26 0,-6-5 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7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71 8321,'-4'-7'242,"2"0"0,5 2-202,4 0 1,2 0 97,5-2 0,-1 1 14,6 1 1,3-1 3,4 1 0,2 2-208,3 1 0,-2 1 117,4 1 0,-1 0-351,-2 0 1,0 0-29,-6 0 1,-4 0-643,-4 0 150,-1 0-26,-4 0 832,-4 0 0,-25-3 0,-10-1 0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7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7703,'3'0'-505,"4"0"1,-3 2 458,6 1 0,-2 2 217,4 0 0,1 1 48,3 1 1,1 1-94,2 2 0,1-2-210,-4 4 1,-2-3 28,-5 3 0,-1-2 30,-1 1 1,-4 0 23,-3 1 1,-4 1-49,-5-1 0,0-1 89,-3 1 0,1 0 117,-3 2 0,-1-3 72,1 1 1,3-2-36,2 1 0,4 0-42,3 1 0,1-2-13,1-3 0,6 2-214,4-2 0,3 1 39,4-6 0,3 1-67,3-3 1,5-1 102,0-2 0,13-16 0,6-8 0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29.8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56 7904,'0'3'599,"0"-1"-300,-1-2 1,2 0-638,0 0 0,0 0 156,2 0 0,-1 0-109,1 0 0,0-2 128,0-2 1,1-1-61,0 0 0,-1-1 25,0 1 1,0-1 197,0 1 0,-3-6 0,0-1 0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0.0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 14 7932,'-1'7'-359,"1"0"239,-1 0 116,0 0 0,1-3-101,1-1 1,0-3-183,3 0 0,-1 0 287,1 0 0,8-22 0,2-5 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2.3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318 0 7941,'-7'0'0,"0"0"-402,0 0 268,0 0 1,0 0 116,0 0 0,0 0 15,0 0 1,-1 3-1,1-2 1,0 5 183,0-4 1,-1 0-108,-1 1 0,1 1 76,-1-1 1,-1 1-56,0-1 1,1-3-16,2 3 1,0-2 119,0 2 1,0-3-40,0 3-27,-1-3-66,5 4 0,-1-3-12,4 3 1,0-2-119,-3 3 0,2 1 23,-1 3 1,1 2-65,1 5 0,0 2 66,0 5 1,-2 1-16,0 7 1,-1 2 45,3 6 1,-2 4-5,0 3 1,-2 1-187,2 3 1,-2 4 41,-3 4 1,0-1 230,0 2 1,-2-1-58,-1-1 1,0 2 148,1 0 0,2-6-130,-1 1 0,1-2 115,3-2 1,1 1-43,0-4 1,2-5 22,1-4 1,0-5 51,0-2 0,0-4-94,0-2 0,4-6-124,0-6 0,0-2-114,1-4 1,3-1-214,4 2 0,-1-2-32,3-2 0,2-1-693,5-3 1082,4 0 0,31-46 0,11-9 0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2.8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92 35 7848,'-3'-7'-29,"-1"2"73,-3 0 0,2 1 94,1-3 1,-1 3-63,-2 2 1,0 1 16,0 1 1,2 3-220,0 4 0,1 4-8,-3 5 0,2 3 177,0 5 0,1 3-89,-1 6 1,2 6 36,3 6 1,0 8-87,0 5 0,1 3 36,1 1 0,3-3-127,5-6 0,1-4 108,6-4 0,1-8-260,3-3 338,3-6 0,26-23 0,10-3 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3.2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7743,'7'0'0,"0"3"-247,0-1 1,3 3-299,-1 0 1,3 1 619,-3 2 0,4 2 200,-2 1 0,6 4 70,2 1 1,1 2-171,1 3 1,1 4-21,2 0 0,-2 4-55,4 1 0,-5-1 85,0 2 1,-7-1-45,0 0 0,-5 0 62,-2 3 0,-3-1-229,-4 1 1,-7 1-136,-2-1 1,-4 2-126,-4 0 1,2-4 30,-4-2 255,3-4 0,2-13 0,4-3 0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3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28 7712,'5'-4'-192,"0"0"0,1-2-333,-1 2 0,-1 0 307,-1 1 0,1 2 218,2-1 0,-3 4 261,0 0 0,0 4-35,1-2 1,0 3 130,-3 0 0,2 0-201,-1 0 1,-2 0-100,2 0 1,-1 0-38,-1 0 1,0 1 72,0 1 1,-3-1-141,2 1 0,-3 0 84,1 0 1,-2-1-83,0 2 0,0-2 35,-1 2 0,0-4-32,1 3 0,2-5-15,-1 3 1,3-4-69,-1 2 72,1-3 0,4 1-91,1-3 0,1 0 9,2 0 0,4 0-153,3 0 1,2-3 38,1-2 0,3 1 249,3-1 0,15-2 0,5-4 0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3.9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7 149 7648,'-4'0'60,"1"0"183,9 0 0,0 0-102,6 0 1,-3 0-23,3 0 1,0 0-214,5 0 1,-1-2-272,2-1 0,1-2 54,2 0 0,1-1-204,-1-1 0,0-3 515,0 1 0,0-38 0,0-7 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34.1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0 7698,'-4'12'0,"2"0"0,-1 0 18,0 2 1,1 1 87,2 1 1,0 1-82,0 4 1,3-2-270,2 2 1,-1 0-75,0-2 1,0-2 99,1-1 218,1-1 0,-2-10 0,3-3 0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3.7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0 7712,'0'4'-555,"0"0"341,0-1 0,0 0 363,0 5 0,0 2 8,0 1 1,1 8-2,1 2 0,0 8-68,2 2 1,-2 3 97,0 1 0,-1-2-122,-1 0 0,0-1-39,0 1 0,0-4-3,0-3 0,0-4 40,0-1 1,0 2-303,0-5 0,-1 1-6,-1-5 1,1 1-112,-1-1 1,0-1 87,0-1 1,0 0 268,-2-2 0,-1-4 0,-2-3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4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 14 7688,'-7'3'-280,"1"1"-492,0-1 633,2 0 281,1-3 0,3 1 68,0 2 1,3-3-93,2 3 0,3-2 91,3-1 1,2 2-108,3 0 1,1 1 164,3-3 0,4 0-12,3 0 0,6 0 16,2 0 1,9 0-88,4 0 0,3-1-46,-1-2 0,0 0-163,3-1 0,1-3 93,-4 4 0,0-1-80,-8-1 0,-2 3 49,-4 0 1,0-1-133,-1 1 1,-3-1-86,-8 3 1,-1 0-43,-3 0 0,-2 1-11,-2 1 1,-2 0-152,-8 3 1,1-3-721,-4 3 1104,-1-1 0,-11 2 0,-3 2 0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5.1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176 0 7681,'-7'0'1,"0"1"-1,0 1 1,0-2 352,0 4 0,-1-3-30,-2 1 1,2 3-332,-4 4 1,2 2 74,0 5 0,0 4 117,-1 4 0,0 9-39,-1 2 0,-1 8-98,4 1 0,0 4 2,5 1 0,0 1 44,4-1 1,0-3-212,0-8 1,0-2 172,0-2 1,4-4-686,0-3 345,3-3 0,2-7 1,1-4-1186,1-4 1470,1-1 0,18-23 0,2-4 0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5.9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80 7676,'0'5'97,"0"0"1,0-2-97,0 4 0,-1 0-385,0 2 0,0-1 173,-1 4 1,0-1 334,0 2 1,1 0-51,1 1 1,-2 1 143,0 1 0,1-3-155,1-2 0,-1-1-37,-1 2 0,2-3 56,-2-2 75,1-1-148,1-2-9,0-1-103,3-9 1,-2-1 18,2-7 0,1 0-97,1-2 0,2 2 125,-1-4 0,3 2 4,0-3 1,-1 1 111,0 0 1,-1 1-116,2-1 0,-1 1 260,3-1 0,-3 2 12,0 3 1,1 2-13,1 2 1,0 3-95,-2 1 0,0 2-51,-4 3 0,2 3-103,-2 2 0,2 3 71,-3 0 0,-1 5-65,-2-2 0,0 0 54,-2 0 0,-3 2-170,-1-2 0,-4 1-1,2 2 1,-2-3-51,0 0 1,0-1 114,0 2 0,-3-3 39,2-2 0,1-3 106,1 0 1,1-2-113,-1 0 0,2-1 184,2-1 1,1 0 43,1 0 135,2 0-144,-1-3 0,5 2-80,2 0 0,0 0-3,1 1 0,3 1-9,-1 0 1,0 1-51,1 2 1,-1-2-26,3 0 1,-1 1-173,0-1 1,-1 1-37,0-1 1,0-1-310,0 1 0,-2-1-191,0-1 712,-1 0 0,-1 0 0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6.2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0 7682,'-6'7'0,"0"0"0,2 0 140,-2-1 1,6 1-73,0-3 0,4 0-25,5-1 0,0-3 161,6 3 0,3-2 178,4-1 0,4 0-178,-2 0 1,8 0-46,2 0 0,2-1 120,2-2 1,-1 0-200,1-1 1,-3-2-204,-1 4 1,-1-3-118,-4 4 0,-1-4-383,-9 3 0,1-1-97,-6 3 0,-2 0-128,-3-3 848,-6 2 0,-25-5 0,-9 2 0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6.8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71 0 7664,'-7'6'0,"2"-2"0,1 3-160,-2 0 0,3 1 47,1-1 1,-2 1-81,2 4 0,0 0 255,2 2 0,0 0 195,0 0 0,-3 0-139,1 0 0,-1 0-89,1 1 1,1-1-65,-2 0 0,2-2 61,-2-1 0,2-1-59,-4 1 0,4-4-2,-2 0-30,3-2 14,-4-1 16,4-1 0,-4-6 22,4-2 0,3-3 0,-1-2 0,4-1 19,-2 1 0,0-2 2,1 0 1,0-1 152,2-1 0,0-1-24,0 1 1,0 0 78,0 0 1,0 0-72,0 0 0,1 1-12,1 1 0,-1 2-77,2 3 1,-2 0 8,2-1 1,-3 5-194,3 0 143,-2 6 1,-2 0-106,-1 5 0,-2-1 14,-3 3 0,0-2-6,0 1 0,-1 1 40,-1 0 1,-2 0-75,-3-1 0,-3-1 45,1 1 0,-1 0-97,0 0 0,2-3 17,-4 1 0,2-2 44,-1-1 47,2 3 0,-3-4 1,2 2-11,2-3 1,0 1 33,1-1 1,0 2 18,0-2 0,3-1 137,1 4 0,2-3 147,1 3-164,0 0 1,4 2-10,0 0 0,5-2-61,0-1 1,2 0-12,-2 1 0,-1-2-99,1-3 1,-1 3-214,-1-1 1,2 0 33,1-2 0,-1 0-359,-2 0 615,-3-3 0,3-20 0,-4-7 0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7.0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28 7668,'4'2'-257,"2"0"0,-3 1 68,2-3 1,1 2 292,2 0 1,1 1-123,1-3 1,1 0-52,3 0 0,-2 0-34,4 0 0,-2-1-124,0-1 0,-2 0 227,2-3 0,-3-8 0,-3-6 0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7.1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7666,'0'7'-136,"0"-1"1,0 1-229,0 0 1,0-1 180,0 1 0,0 1-67,0-2 1,0 3 277,0 0 1,0 0-29,0-2 0,0 0 0,9-1 0,-7-2 0,31-7 0,1-4 0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7.7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57 7661,'0'-5'455,"3"0"-279,-3 4 0,4-3-42,-1 4 0,-3 1-83,3 2 0,0 3-140,-1 3 0,1 4 104,-3-1 1,0 1-46,0 1 0,0 2-12,0 1 1,0-1-176,0-2 0,0 1 81,0-1 0,0-1 92,0-1 0,-1-2-188,-1-3 173,1 0 17,-2-3-16,3-1 28,0-9 0,0-2-22,3-6 0,1-1 3,3-1 1,0 0 98,0-3 0,0 1-72,0-1 1,0 0 160,0 2 0,1-2-48,1 3 0,-1-1 104,2 3 0,0 3-40,-1 2 0,1 4-8,-3 3-113,0 1 1,-1 4 0,-1 2 1,-2 4-96,-3 0 0,0 1 56,0 0 1,-1-3-105,-1 3 0,-3 0 60,-4-1 0,1 1-164,-2-3 1,0 0 3,1 0 0,-3-1-13,3-1 0,-4 0 196,1-2 0,1 1-9,-1-1 0,4-1-15,-2-2 0,3 0 76,0 0 1,2 0 372,0 0-87,4 0 1,-3 0-161,11 0 0,-2 3-122,7-1 1,-3 3-46,3 0 1,-2 1-139,1 1 0,-1 0-18,1 1 1,-1-4-221,2 1 0,-4-3 154,2 3 1,-2-3 235,2 0 0,1-14 0,3-4 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7.9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99 7655,'0'7'-259,"0"0"1,0 0 347,0 0 1,1 0 120,1-3 0,0 2-85,2-4-51,-2 4 0,4-6-132,-1 3 1,-1-2 76,1-1 0,-1-1-38,3-2 1,0 0-24,-3-5 0,3-1-150,-3 0 0,-1-4 16,0 1 0,-2 2-128,-1 1 1,0-1 63,0 0 1,-1 1 239,-2 2 0,-19-13 0,-9-3 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8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7654,'7'6'33,"0"-2"0,0 2 22,1-1 1,-1 2 222,0 2 1,2 2 22,0 3 1,4-1 30,-1 3 1,0 1-110,2 3 1,0 3-29,0 2 0,-2 4-141,0 4 1,-4-1 115,-1 2 1,-3 2-140,-4-1-35,0 2 1,-7-2 0,-2 2-106,-3-2 0,-3 1-49,-2-2 1,2-3-175,-1-7 0,2 1 36,0-5 0,0 1-215,3-7 0,1-4 164,2-4 0,4-4-99,-1-2 0,3-4 446,0-2 0,-2-19 0,0-7 0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2:58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8198,'1'4'275,"1"-2"0,0 1-159,2 0 0,1 0-104,2-1 0,0 0 66,0 2 0,0-1-3,0 1 1,0-2-29,1 0 1,-1 1-138,0 0 1,-3 2-2,1 0 0,-3 1 74,0 1 0,-1 0-71,-1 0 0,-1 1 93,-1 2 0,0-2 121,-3 4 0,1-3-31,-3 3 0,2-3 54,0 0 0,4-1-103,-2-1 1,0 0 78,1 0-158,-1 0 1,7 0 62,0-3 0,3-1-206,3-3 1,1 0 45,3 0 0,2 0-368,1-3 0,2 2 498,-3-4 0,13-9 0,1-5 0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08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445 1 8471,'-4'0'-75,"1"0"0,2 0 195,-2 0 1,2 0-120,-4 0 0,3 0 52,-3 0 1,0 2-19,-2 0 0,-1 4-15,-1-2 1,0 5 61,-2-1 0,-2 5-39,-3 1 0,0 2 14,-3 5 0,-1 4 0,-1 0 0,-2 3 30,4 3 0,-1 2 6,-1 8 0,-2 5-15,2 7 1,-1 2 4,5 2 0,1-1-24,2 3 1,0 0-6,-1 0 1,4-1 130,2-4 1,2-2-69,2 2 0,0-6 9,2 2 0,2-3-65,3-4 1,2-1 0,3-2 1,3 1-14,2-2 1,-1-4-118,1-3 1,-3-7 149,3 4 1,0-5-25,2 1 1,-2-3-42,-1-4 0,1 0-165,2 3 0,0-2-623,1 0 1,-1-2 122,3-3 1,-2-3 647,1 1 0,15-11 0,3 2 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0.8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92 212 7712,'-7'2'0,"0"1"0,-2-1-263,-1-2 0,3 0 115,2 0 0,1-3 362,0-2-126,1-1 0,3-1 223,0 0 0,0 0-169,0 0 1,3 0 61,1 0 1,4 0 13,1-1 0,2 1-84,3 0 1,0 0 71,0 0 1,1 3-112,2-1 1,-2 2-97,4-1 1,-2 2 50,1 0 1,-2 1-145,0 1 0,-1 0 70,0 0 0,-1 1-107,0 1 0,-3 2 0,-2 3 0,-2 0 61,-2 0 1,0 3-6,-2-1 0,-1 1 35,-2 0 0,-3-2-9,-2 4 1,-3-1 16,-2 1 0,-2 0 4,0-2 1,-2 2-1,-3-3 1,2 3-12,-1-3 1,-1 1-4,0-3 0,0 2 7,1 0 1,-2 0 22,-1-4 0,2 0-21,3-2 1,0-1 84,0-2 1,0 0-1,0 0 1,3-3 125,1-2 0,3-2-69,3-2 0,-2-2 77,4-3 1,-1 2-82,3 0 1,1-2-29,1-3 1,2 1-51,3 2 1,4 0 6,0 0 1,4 0-21,1-1 0,1 1-35,2 0 0,1 3-96,-1 2 0,-1-1-176,1 0 1,-2 2-19,1 3 1,-2-1-247,0 4 0,-1-3 190,0 3 1,1-4-261,0 2 627,1-2 0,6-8 0,3-1 0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1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85 99 7693,'-4'4'-10,"-1"-1"1,3-3-62,-3 0 1,3 1 11,0 1 1,1 0 8,1 3 1,0-1 124,0 4 1,0 1-8,0 0 0,0 4 80,0-1 0,0 4-79,0 3 1,0 1-22,0 1 0,0 3 47,0-1 1,0 3-14,0-2 0,-3-1-33,-2-1 0,-1-2-1,-1-1 1,0 0-42,0-2 0,1-4 63,1-3-71,-1-3 74,2-3-70,0-1 1,1-6 1,3-1 1,0-3 3,0-3 0,0-1-92,3-3 0,-2-1 58,4-1 1,0-2-50,2-3 1,0-1 64,0 1 0,0-2-6,0-1 1,1-3 27,1 2 0,0-3 6,3 0 1,-1 0-32,4 0 1,1 0 16,0 2 1,3 5 155,-2 5 0,2 4-67,-3 2 0,1 3 106,-3 3 1,0 1-86,0 3 0,-3 0-243,-2 3 155,2 1 1,-3 3-13,1 0 1,-3 0-42,-1 0 0,-4 0-23,2 0 1,-3 0-38,0 0 0,0 0 80,-3 0 1,2 1-104,-4 1 1,-1-1 7,-3 2 1,1-3 18,-1 1 0,-1 0 39,0-1 0,-2 2-12,0-4 1,1 0 5,-1 0 0,1 1-5,-1-1 0,0-2 115,2-1 1,1-1-59,2-1 0,-2 0 83,-1 0 1,3 0 33,2 0 96,4 0-176,-2 0 8,3-3 51,0 2 1,1-2-70,1 3 0,2 2 67,3 1 0,-1 2-59,-1 0 1,1 1 113,-1 1 0,1 0-8,1 0 0,3 1-24,-1 1 1,0-1-57,-2 2 1,0-2-8,1-1 0,-1 0-48,3 0 0,-2 0-141,1 0 0,-1 0-157,-1 0 0,0 0 141,0 0 0,-1 0-126,-1 0 1,0-2-86,-2 0 0,-1-1-772,-2 3 737,0 0 0,-3 0 394,-2 1 0,-4-1 0,-37 0 0,-11 0 0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2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4 106 7681,'0'5'0,"0"-1"0,-1 0-953,-1 1 225,1-2 1032,1-3 0,6 0 30,5 0 1,2-2 144,0-1 1,3-1-170,4 1 1,4-1 47,7 1 0,1 0-132,5 1 1,2 0-36,7-3 0,4 3 63,-1-3 1,5 3-25,-2-3 0,4 2-185,0-4 0,3 2 65,-1-5 1,-2 2-232,-4 1 1,-1 0-28,-2 0 0,2 0-112,-4 0 1,-3 1 48,-5 1 1,-4 2-160,-3 3 0,-1 0-20,-2 0 1,-7 0 102,-8 0 0,0 0 287,-1 0 0,-9 3 0,-1 1 0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3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7655,'0'4'-949,"0"1"917,0-3 1,0 2 77,0-2 17,0-1 1,0 3-5,0-2 183,0-1 0,0 3-60,0-2 1,0 0-102,0 2 1,0-1-36,0 1 0,0 1-73,0 2 1,0 0-4,0 0 1,0 4 57,0 0 0,0 3-71,0 3 0,2 1 61,1 3 0,1 3-17,-1 2 1,-1-1 42,-2 1 1,0-3 17,0 0 0,0 1-11,0-3 0,0-1 8,0-6 0,-1-3-9,-1-2 1,1-1 51,-1-1-1,1-3-55,1-1 0,0-4 40,0-1 0,0-2-41,0-3 0,0-1-49,0-1 1,0-2 12,0-3 0,0-1-80,0-2 0,2 2 51,1-4 0,1 1-15,-1-1 1,2-1 57,0 1 0,1-2 1,1 0 1,1 0 82,2 0 1,-2 1-60,4 1 0,1 2 76,3 2 0,-1 4-71,1 2 0,2 4 4,-2 3 1,-2 1-95,-2 1 0,-1 0 53,1 0 0,-3 1-191,-4 1 125,1 2-173,-5 3 202,2 0 1,-3 0-9,0 0 1,-2-2 2,-1 0 0,-2-1 0,0 0 1,-1 3-3,-1-3 0,-1 3-4,-2 0 1,3-3-86,-3 1 0,0-1 87,1 1 0,-3 1 8,2-1 1,-1-2 19,1-1 1,0 1 1,1 0 1,1 0 9,-2-1 0,3-1 194,0 1 9,3-1-193,1 2 0,3 0 198,3 2 1,1 1-45,3-1 0,3-1 85,2 1 1,2-1 4,2 4 1,0-1-87,3 0 0,-1 0-64,0 0 0,2 2-149,-3 1 0,2-1 54,0-2 0,-1 2-204,1 1 1,-4-1-118,-1-2 1,-1 0-34,-3-3-1062,-1 3 1397,-5-7 0,-42-34 0,-13-13 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4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63 15 7716,'-3'0'-122,"0"0"-61,0 0 0,0-3 404,-1 1 415,0-4-606,1 6 1,-1-3 56,0 3 0,1 0 93,0 3 0,2 0-46,-1 5 1,1 0 6,-1 0 1,0 5-46,0 3 0,0 7 1,0 2 1,1 6-54,-1 8 0,0 5 62,2 10 0,-2 0-68,1 3 1,-1 4 50,2 3 0,-1 1-113,1-3 1,0-3 87,0-6 1,0-3-10,0-2 1,1-1-293,1-4 1,1-3-397,2-8 1,-1-2 163,1-6 1,2 2 468,0-6 0,10-16 0,4-8 0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4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101 1 7665,'0'7'0,"0"-1"0,0 2-207,0-2 1,3 1 81,0-1 1,0 4 248,1 2 0,2 1-11,3 3 1,1 1 90,0 2 0,3 5-96,3 5 0,1 2-22,1 6 1,-3 0-69,-2 4 0,0-1 25,-2 2 0,-2 3-81,-3-2 0,-3-2 30,-3-3 1,-3-2-20,-3 0 0,-3-2-27,-5-2 1,0 0-5,-4-4 1,2 0-54,-6 3 1,-1-3-139,-1 0 1,0-1-265,2-6 0,0 0 513,-2-6 0,3-8 0,1-4 0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5.3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22 7656,'7'-3'201,"0"0"69,0-2-239,0-1 1,0 5-34,0-1 0,0 1 129,0 1 1,1 0-27,-1 0 0,0 1 51,0 1 1,1-1-119,-1 4 0,2-1 11,-4 1 1,0 1-175,0-1 158,1 1 1,-3 1-61,2 0 0,-2 0 71,-3 0-52,0 0 0,0 0-98,0 0 0,-3 0 118,-2 1 1,-1 1-104,-1 0 0,-1 1 84,-1-3 0,1 0-5,-2 0 0,3 2 10,0 1 0,-2-1 1,2-2 0,-2-2 55,5 0 15,-3-1 17,3 3 1,1-2-45,3 0-17,0-4 1,1 2 63,1-3 1,5 0 113,2 0 0,1 0-174,0-3 0,1 2-8,3-4 0,0 3-89,0-3 1,2 1 105,1-1 0,-1 0-228,-2 3 0,1-3 57,-1 2 1,-1-1-122,-1 1 0,0 1-34,-2 2 292,-4-3 0,-12 2 0,-6-2 0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6.0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99 7357,'5'0'743,"0"0"-575,0 0 0,4-1 80,0-1 1,4 1-144,-1-1 0,1-2 25,1-1 0,1 1-202,1-1 0,0 3 56,3-3 1,-3 4-123,0-2 0,-2 0-140,-2 1 1,1-3-152,-4 3 1,0-1 123,-5 0 305,-1 3 0,-28-22 0,-6-2 0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6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0 7639,'0'7'-466,"-3"-3"482,2 3 0,-2-3-50,3 3 0,0 0 136,0 3 1,0-2 4,0 4 0,1 2 90,1 3 1,-1 2-134,2 0 0,0 2-33,-1 0 0,0 2-180,-2 1 1,0-1-77,0-2 0,0-3-202,0-1 1,0-2 426,0-1 0,-9-12 0,-3-4 0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6.9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289 0 7652,'-4'4'36,"-1"-1"0,3-2 96,-3 1 1,0-1-4,-2 1 1,2 2-1,1-2 0,0 0-230,-1 1 1,-1 0 167,1 1 0,-1 2 16,-1-1 1,2 1 0,0 1 0,1 2 95,-3 3 1,0-1-84,-1 3 1,1 1-41,-3 5 1,2 4 36,-4 1 1,2 4-7,-1 3 1,1 1-52,-2 3 0,1 5-101,-3 1 1,3 4 91,1-1 1,0 3 24,1-1 1,-3 2 31,2-2 0,3-1-45,3-5 1,2-1 3,0-1 1,1 0-53,1-3 1,0-1 0,0-4 1,1-2-125,1 2 1,2-2 54,3-3 0,0 2-307,0-6 0,3 1 133,-1 0 0,4-3-394,-2 1 0,3-2-9,0-4 654,3 2 0,26-16 0,10-2 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8.0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71 95 8468,'8'-3'263,"-1"1"1,3 0-157,-3-1 1,1 3-119,2-3 1,3 2-34,-1 1 1,0 0-33,1 0 0,0 0 86,0 0 1,2 6-84,-3 0 0,1 3-19,-3 1 0,-2 0-63,0 4 1,-2-2 111,-3 2 1,1 2 3,-4 0 0,-1-2 25,-2-3 1,0 4 11,-3-4 1,-2 3 35,-2-5 1,1 1-50,0 0 1,-3 2 14,-2-4 0,1 1-29,1-3 0,0 1 10,1 0 1,-1-1 2,1-2 0,-2 0-5,2-4 1,-1 0-2,1 0 1,-1-1 0,3-2 0,-1 2-16,2-4 1,-1 1 15,1-3 0,2 0 76,-2 1 1,4-2-68,0 0 0,3-2 116,-1-2 0,1 0-53,1 1 1,0-2-29,0 0 1,3-4 11,3 3 0,2-5 12,4 3 0,2 0 85,2 4 1,1-2-95,3 1 1,0-1 114,4 4 1,-3-2-95,1 3 1,0-1-30,1 4 1,-1-1-104,-1 0 0,0 3-186,-6 3 0,-1-2 92,-2 0 1,-1 1-48,-1 2 0,-4-2-680,-2 0 894,-3 0 0,-1-4 0,-3-2 0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8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57 0 7645,'-2'8'-292,"-1"-1"-147,1 0 1,2 0 291,0 0 0,-2 2 224,-1 1 0,1 4 99,2 1 1,-2 3-66,-1 1 1,0 2-27,1 0 0,0 2-93,-2 1 0,2 2 82,0-3 1,-1 3-64,0-2 1,1-1 116,2-2 0,-3-3-59,1-1 1,-1-3 10,1-2-104,1-2 61,-2-6-22,3-1 0,0-4-29,0-1 1,0-2-18,0-3 1,0-3-23,0-2 1,0-2-12,0 0 0,1-1 20,1-1 1,-1-2-9,4-3 1,0 0 28,2-1 1,0 0-5,0-1 0,1 0 59,1-3 1,0 1-22,3-1 1,0 2 8,5 3 1,-2 3-1,4 1 0,-1 6 7,1 4 1,-2 4 92,-3 3 1,0 3-97,-3 4 0,0 1 21,-4 1 1,-3 1-16,-2 0 1,-1-1-56,-1-2 0,-1 0 52,-1 0 0,-3 0-80,-5 0 1,2 0 10,-4 0 0,-2 0-129,-2 0 1,-1 1 91,3-1 0,-1-3 42,-1 1 1,1-3-54,-2 3 1,2-3 34,1 0 1,2-1 68,1-1 1,3-1-22,1-1 1,1 0 15,3-3 20,1 4 0,5-2 15,2 3 0,1 0 34,1 0 1,3 0-72,2 3 1,1 1 47,1 3 1,1-1-44,-1-1 0,0 1 0,0-1 1,2 1 10,1 1 0,-2-2 6,-3-1 0,2 0-376,-3 1 1,-1 1 346,0-4 0,-5-6 0,-2-4 0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8.9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36 7645,'5'0'0,"0"0"-89,-1 0 1,4 0-147,-1 0 0,2 0 41,0 0 0,2 0 133,-2 0 1,0 0-87,2 0 0,-1-1 47,2-1 100,-4 1 0,2-15 0,-3 1 0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9.1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7645,'0'5'-214,"0"-1"73,0 1 1,0 5 62,0-1 0,1 4 65,1-2 1,1 3-23,2 0 1,1 2-81,-1 1 1,-1 1-3,0-1 1,-1-1-124,1-1 1,-1-2 69,1-1 170,-2 1 0,4-24 0,-2-2 0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9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64 29 7645,'7'0'44,"0"1"128,0 1 0,-3 2-25,1 3 1,-3 3-107,0 2 0,-1 2-45,-1 2 0,0 6 58,0 3 0,-1 2-26,-1-1 0,1-1 26,-1-1 0,-2-3-49,2 3 1,-3-4 36,3-2 1,-3-4-189,0 0 0,1-5 96,-1 1 0,1-1-28,-4-2 1,4-1-44,-1-3 1,3-2 56,-3 1 1,3-2-42,-3-2 0,3 0 87,0-3 0,1 0 4,1-5 0,0 2-6,0-4 1,0 0 0,0-2 0,0 0 25,0 0 1,0-3 11,0-2 1,1-2 13,1 0 0,0 0-33,3 0 1,-1-3 13,3-2 0,0 1-13,1 2 0,2 2 104,1 2 0,3 3-26,0 4 1,0 2 46,0 6 1,-2 1-84,0 3 0,-1 0 12,4 3 0,-5 1-17,0 3 0,-2 0 19,-1 0 0,-1 2-115,-1 1 0,0-1 95,-2-2 0,-1 2-147,-2 1 0,-1-1 69,-1-2 1,-3 3-119,-4-1 1,0 1 13,-3-3 0,-3 0 3,-3 0 0,0 0 50,-1 0 1,1-3-15,-1 1 1,-1 0 168,4 2 1,-1-2-82,3-1 1,4 1 124,3 2 0,1 0-36,3 0 1,1 1-26,2 1 1,4-1-5,3 2 0,1 0 0,4-1 1,-1 1-218,0-3 0,5-3 99,-2 1 0,2-2-187,-2 1 0,1-2 75,1 0 0,-1-2 189,2-2 0,10-15 0,3-5 0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29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50 7655,'0'10'0,"1"-2"0,2 1 0,-2 1 0,4 0 0,-3-1-191,3-2 1,0 0 76,2 0 0,0-2 377,0 0 0,2-4-60,1 2 1,1-3-127,-1 0 0,2 0-61,0-3 0,1-1-102,-2-3 1,2-1 139,-4-1 1,2-1 15,-4-2 1,1 0-544,-6 2 0,0-2 199,-4 3 1,-3-3-91,-4 3 0,-2 0 364,-3 4 0,-57-1 0,-14 2 0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36.4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170 0 7448,'-5'0'-329,"1"0"1,1 1 598,-1 1 1,1-1-263,-1 1 0,1 0 51,-1 0 0,-1 1 86,-2 2 0,0 1-46,0-1 1,-1 4 7,-2 3 1,2 2-65,-4 3 1,1 4-3,-1 5 0,0 6-26,2 6 1,-1 3 1,1 6 1,4 2-21,4-2 0,1 1-134,1 2 1,2-3-72,0-5 0,6-5 73,-1-11 0,5-3-112,0-4 0,7-3 247,2-7 0,58-27 0,13-14 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36.9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7686,'0'7'-15,"0"0"0,1 0 609,1 0 1,0 0-443,2-1 0,3 1-414,3 0 1,3 2 265,0 3 0,4 2 199,2 2 0,1-1-244,-2 4 0,2-2 72,1 0 0,-1 1-108,-1 4 1,-3-2 50,-2-2 0,-3 3 19,-2-1 0,1 3 51,-3 2 1,-3 2-210,-4-4 0,-2-3 60,-4-1 1,0 1 86,-3 3 1,-2 1-63,-3-3 1,-1 0-100,-1 3 0,-1 0-159,-1-3 1,-2 2 2,1-5 335,-1-2 0,-10-2 0,-3-4 0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38.0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42 7674,'-1'4'-744,"0"-2"372,0-1 650,-2-1-242,3 0 1,3 0 58,2 0 0,1 0 139,3 0 0,2-1-78,5-1 0,2 1-84,5-2 0,3 3 46,6 0 0,3-3-27,3 1 0,5 0-14,4 2 0,5 0 34,4 0 0,2 0-120,-3 0 0,1 0 65,5 0 0,-2 0 0,4 0 1,1-3 9,-7 1 1,4-3 0,1 1 0,0 0-101,2-1 0,-3 3 61,-5-3 0,0 3-193,-2 0 0,-2 1 20,-2 1 0,-7 0 4,-4 0 1,-5 0 13,-2 0 0,1 3-161,-6-1 1,-1 1-97,-7-1 0,-2-1-125,-1 2 510,-1-3 0,-5 0 0,0 0 0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0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125 48 7646,'0'4'193,"-3"2"1,2-5-29,-4 1 1,4 2-632,0 0 1,-3 2 180,2 1 0,1 3 370,1 2 1,-3 0 19,2 5 1,-3 1-17,2 2 0,-3 3-59,2 2 0,-3 3-50,4-2 0,-6 3 101,2-1 0,-1-1-15,1-4 1,-2-2-59,0-3 0,-2-4 68,2-1 2,1-5-22,1-5 0,2-7 11,3-3 0,0-3-56,1-3 1,1-3-3,0-2 0,4-5-11,2 1 1,0-4 33,3 1 1,-2 0-9,2 1 1,0-2-77,1-1 1,1 1-20,0 1 1,1 0 90,0 2 1,1-2 33,1 1 0,-2 7 130,1 4 0,-1 7-86,-2 1 0,-1 4-242,-3 1 1,0 4 69,-2 3 0,-1 0 18,-2 4 1,-2-2 43,0 2 1,0 0-51,-2 0 0,-2 2 35,-1-1 1,-2 2 14,0-2 0,-1 1 4,-2-1 1,3 1-5,-4-2 0,3-1-99,-3-1 0,1-2 64,2 0 1,-1-3-81,1 1 1,0-4 91,2 2 0,0-3-45,0 0 59,0-3 198,3-1-79,0-2 1,3 2-58,3 2 0,0 1 9,3 1 1,2 3-56,-1-1 0,4 2 1,-1 1 0,1 4-53,1 0 0,-1 1-131,-1-3 0,1-1 81,-1 1 1,1 0-94,-2-1 0,1 0-280,-1-1 480,-2 1 0,-3-18 0,-2 1 0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0.7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71 7646,'4'7'-83,"1"-3"1,-3-1 82,3-3 0,2 3 0,2-1 0,4 0-171,-1-2 1,1-2 85,1 0 1,3-4-85,-1 2 0,1-3 84,-3 0 85,-3 0 0,2-19 0,-2-4 0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0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1 7646,'0'14'-118,"0"0"-60,0 0 0,-3 0 61,1 0 0,-1 0 85,0 0 0,3 1-211,-3 2 1,2-2 68,1 1 0,-2-1 99,0-1 0,-1-2-67,3 0 142,0-4 0,0-1 0,0-4 0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1.4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40 7646,'7'0'0,"0"0"0,0 0 0,1 1 249,0 1 1,0 2-49,-3 3 1,-1 4-299,0 3 0,-2 3-5,0 5 0,-1 2 78,-1 2 0,0-1 76,0 1 0,-3-1 0,-2 1 1,-1-2-31,-1-3 1,-2 0-10,-1 0 1,1-3-115,2-4 1,0-3 130,3-4-60,1-3 1,3-2 13,0-4 0,0-5-11,0-5 1,3-5-18,1-1 1,3-5-8,0-1 1,2-2 43,1 0 1,1-1-13,-1 1 1,2-3 149,-3 0 1,1 2-42,0 1 1,1 4 52,3 1 0,-1 1-76,-1 6 1,1 2 18,-1 8 1,-1 4-79,1 4 0,-5 6-145,0 2 1,0 2-3,-5 2 0,0 1 92,-2 2 0,-3 3-33,-1-3 0,-4 2 17,-1-4 0,-2 1 4,-3-1 0,0 2 25,0-3 0,2 0 21,0-4 0,1 0 17,-4-2 1,4-2 11,-1-3 91,3 1-135,-1-5 56,6 2 0,5-3-30,6 0 0,1 0 5,4 0 1,-3 2-27,3 1 1,-1 2-76,0 0 1,3-1-17,-2 1 0,0-2-183,0 2 0,-1 1-56,-2-4 1,-1 3 352,1-3 0,-1-3 0,-1-3 0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1.6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84 7639,'3'10'-216,"-1"-1"-324,3 0 627,-1-2 187,3 0 0,1-3-274,-1-1 1,0-2 55,0-1 1,1-1-4,1-2 0,-1-1-42,1-3 1,-1 0-94,-1-3 0,2 2 52,-2-1 0,1-1-127,-6 0 0,0-1 78,-2 1 1,-1 1 14,-1 2 0,-2 0-12,-3 0 1,-2 3-113,-1 1 0,-1 0-12,1 1 0,0 0 112,1 5 0,1-2 88,-2 4 0,6 6 0,1 4 0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2.4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209 0 7677,'0'6'0,"0"2"-279,0 0 0,1-2 111,2 1 1,0 0 342,-1-1 0,2 4-77,0 2 1,1 0-49,2 2 1,0 1 13,2 0 0,-1 3 4,4 6 0,0 0-76,0 3 1,1 3 57,-1 2 0,0 5-93,0 2 0,-1 5 44,1 1 0,-5 1-4,1 3 1,-3 0 7,-1 2 0,-2 0-8,-2-4 1,-3 2 28,-2 0 0,-1 3 10,-3 1 0,-3-4-15,-2 0 1,-2 1-1,-1 0 0,-2 5 81,0-5 1,-2 1-87,1-5 0,-1-2 126,0-1 0,-2-2-51,3-6 1,-1 0-38,5-8 0,2-4-159,-1-2 1,2-4-240,-2-6 1,4-1 343,3-6 0,-8-56 0,-4-16 0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2.9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7647,'5'4'-29,"0"-2"0,-3-1 71,3 2-265,-1-2 0,3 4 241,0-3 0,1 3 54,-1-3 0,0 4 19,0-1 0,0-1-38,0 0 0,-1 1-71,-1 2 1,3 0 62,-4 0 0,3-2-10,-4 0 0,1 0-8,-1 4 1,-1-1-12,-2 2 1,0-2-6,0 2 1,-1-2 15,-1 4 0,-2-1 115,-3 1 0,0 0-35,0-2 0,2 2-26,0-3 0,2 0-51,-2-2 1,1 0 36,2-3-51,1 3 1,-2-7-128,6 3 0,-1-2-169,5-1 0,-1-1 116,6-2 0,1-1-285,3-6 0,0 2-10,3-4 459,0 0 0,24-18 0,5-3 0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3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325 0 7685,'4'7'51,"-1"-2"127,-3 1 1,2-2-137,0 4 1,3-2-256,-3 5 0,4-3 211,-1 4 1,1 3 74,1 5 0,2 1 76,1 3 1,2 1-69,0 7 0,2 3-123,3 5 0,0 9 115,2 1 0,-2 5-150,-3 0 0,-3-2 35,-2 2 1,-2 2-81,-2 0 0,-2-2 116,-3-4 1,-3 0-28,-2 1 1,-3 2-80,-2 3 1,-2-2 44,0 1 0,-1-5 71,-1 4 0,-4 2-11,0 0 0,0-2 5,-1-4 1,-3-2 35,-4 2 1,-1 0 102,-2 0 0,1-1-74,0-4 1,0-2 88,3 0 1,-2-3-233,3 0 1,4-5 36,4-5 0,3-3-137,1-1 0,1-1 113,0-4 67,0 1 0,-5-11 0,-3 1 0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5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200 8 7727,'4'5'0,"-3"-1"198,4-2 1,-1 1-49,3-3 0,3-1-379,-1-1 1,4 1 85,-2-1 1,5 0 152,-1 0 0,0 1 39,2-1 0,1-2 89,-2 2 1,0 0-91,-5 2 1,3 0 6,-2 0 0,0 0-10,1 0 1,-3 0 7,-3 0 1,0 0 125,0 0-114,-3 0 1,-1 1-8,-3 1 0,0 2 21,0 3 0,0 0 12,0 0 0,-3 2-13,-2 1 1,2 5 4,-2-1 0,2 5-116,-1-1 0,1 7 62,-1 3 1,0 6-50,-1 6 1,1 7 24,1 3 0,2 8-84,0 3 1,-3 8 51,1 6 0,-2 1-119,4 0 1,-3-4-25,3-3 1,-1 0 89,0 0 0,2 3-42,2 1 1,2 3 113,4-1 1,-2 1 72,2-1 0,1 1-156,4-6 0,0-4 0,1-7 1,0-6 85,-3-4 1,4-3 116,-4-6 0,2-2-44,1-6 0,-1-1-67,-3-5 0,-1 0 159,1-5 0,-2-1-23,-4-6 6,-1-3 0,-3-2-56,-3-4 0,-4 0 112,-5-2 0,-5-1-172,-5-2 0,-5-1-62,-3-1 1,-5-2-411,-1-3 1,-3-3 202,-6-2 1,-3-5-300,-2-1 1,1-3 540,4 0 0,-27-28 0,-9-8 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6.0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71 7725,'0'-10'-104,"1"-1"52,2-4 0,-3 4 176,3 2-38,1 1 0,-3 4 85,4 2 0,-3 4-50,3 3 0,-3 2 12,3 2 1,-3 2-25,3 4 1,-3 2 9,3 2 1,-3 0-117,3 0 1,-1 4-143,1-2 1,0 1-320,-2-3 1,1 1 214,-1-1 1,1-1-316,-1 1 1,1-4 557,-1-1 0,-1-3 0,-2-4 0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6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1 7753,'-7'0'326,"-1"0"0,4 2 297,-1 0-598,3 1 1,1-3-1,6 3 1,0-2-138,7 4 1,3-3 158,4 0 1,1 1-94,1-1 0,3 1 47,-1-3 0,4 0-198,-1 0 1,-1 0-79,1 0 1,-4 0 63,2 0 1,-3 0-282,-2 0 0,-5 0 60,-5 0 432,-4 0 0,-17-3 0,-8-1 0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6.5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50 1 7746,'-10'4'0,"0"2"0,-2-1 0,4-2 530,3-1-358,4-1-436,-2-1 266,12 0 1,-3 2 99,9 0 0,-3 2 22,2-2 1,0 0-20,0 2 1,3 0-96,-1 1 1,1 1 7,-3-1 1,-1 1-155,-1 1 1,0 0 57,-5 0 0,1 1-115,-6 2 0,0-3 57,-2 3 1,-3 1 22,-1 1 1,-7-2 207,-3 2 0,0-1-101,-2 1 0,-2 1 253,2-4 0,0 3-9,5-3 1,-1 1-118,5-3 1,-1 0 101,6 0-114,-1 0 0,7-1-100,3-1 1,3-2 88,4-3 1,4 0-236,1 0 1,-1 0 36,0 0 0,1-3-440,2-2 1,1-1 48,-1-1 491,0 0 0,3-19 0,1-5 0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7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57 7899,'-5'3'231,"2"-1"162,1 2 0,3-2-776,2 0 0,4-1 194,5-1 0,2 0-49,2 0 1,1-1 163,2-1 0,0-2-150,1-3 1,-1 0 36,-2 0 0,-3 0-215,0 0 402,-2 3 0,-9-9 0,-4 1 0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8.1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57 7934,'-1'10'0,"0"-2"8,-1 1 1,1-1 82,0-1 0,1-1-71,1-1 0,2-2-20,1-3 0,21-50 0,-11 18 0,0 1 0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8.4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290 8 7934,'-8'-3'0,"-1"1"0,0 0 0,-2 2 0,-1 0 258,-2 0 0,0 0-195,-1 0 1,1 3-369,0 2 0,-2 1 229,-1 1 0,0 2 51,1 1 1,1-1 86,-2-2 1,2 3 6,1-1 1,3 0-27,2-2 0,1-2-41,1 0 13,3 0 36,1 2-47,3 0 0,0 0 61,0 0 1,2 1-3,1 1 1,1 2-50,-1 3 0,1 6 10,-1 1 1,1 10-48,-1 1 1,1 9 50,-1 9 0,-1 12 63,-2 6 0,0 8-64,0 4 1,0 5-149,0 1 0,0 2 206,0-5 0,-2-2 18,-1-11 1,-1 0-118,1 2 0,-1-3 104,1-4 0,1-2-449,2-10 0,1-1 176,1-4 0,5-5-453,5-5-1,1-7 637,1-7 0,1-3 0,-1-2 0,0-2 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8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275 33 7835,'-3'-6'0,"-3"-1"101,-3 0 1,-4 2 257,1 0 0,-1 3-249,-1 4 1,-3 6-164,-2 5 1,1 7-12,-1 7 0,1 7 165,-1 7 0,-3 5 63,3 6 0,1 7-142,3 2 0,5 1-236,3 0 0,3-4-20,4-4 0,7-6-337,5-9 0,8-3 235,9-7 336,5-3 0,37-24 0,10-4 0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9.0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226 1 7748,'14'13'0,"0"1"0,0 0 0,0 2-174,0 3 0,-2 1-341,0 6 1,-1 1 481,1 7 0,1 4 417,-1 1 0,-5 1 79,-3 3 0,-2-2-238,-2 2 0,-7 2-9,-5-2 1,-7 3-248,-7-1 1,0 3-201,-2 2 0,-2-3 205,-5 0 0,2-8-105,0-7 0,5-9 147,0-5-16,5-9 0,-5-24 0,3-12 0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9.3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7725,'6'1'3,"-1"0"0,0 2 144,2 0 0,-2-1 64,1 0 0,-1 1-188,1 0 0,2 2-11,2-1 1,0 0-40,1 0 1,-1-2 140,2 3 1,-1-4 28,0 1 1,-2 1-116,-2 0 1,0 1 68,-2-2 1,-2 4-75,-1-3 0,-2 4 56,0 2 1,-2-2-112,-2 5 1,-3-1 56,0 2 1,-3 0-135,1 1 1,1-2-9,0-2 1,2 2-135,0-3 0,4 0-210,0-2 1,2 0 187,2-1 1,2-3-40,6 2 1,1-2 311,6-2 0,41-12 0,11-3 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9.6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1 127 7694,'3'4'0,"-2"3"231,4-3 0,0-1-34,2 0 1,0-2-406,0-1 0,3 0 88,2 0 0,4-1 172,3-2 0,1-1-29,2-6 0,-4 3 1,1-3 1,-1 0-110,1 1 1,-2-4-383,-3 1 467,1 2 0,-11-19 0,-1-2 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49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 0 7683,'0'13'0,"0"1"0,0 6 42,-3-1 1,2 4-38,-4-2 0,3 1-3,0 4 1,1-1 115,1 1 1,0 1-127,0-4 0,0-2-5,0-2 13,0 0 0,-9-4 0,-3-2 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4.4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21 7804,'-3'-7'-3,"2"3"199,-1-1 38,1 3-125,1-1-41,0 13 1,1-2 53,1 9 1,1 1-113,2 0 1,0 6-134,-2 2 1,1 1 66,-1 2 0,0 1-200,-1 1 1,-1-1 16,1-2 1,-1-2-151,-1-3 1,-1 1 388,-1-3 0,-21-5 0,-7-6 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4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57 7804,'-3'4'-118,"1"1"0,3-3 391,3 3 1,7-3-56,4 0 1,8 1-4,6-1 0,7 1-85,4-3 0,6-3 9,4-2 1,-3-2-52,0-3 1,-1 3-79,-3-3 1,-2 5-439,-6 0 1,-2 1 249,0-1 0,-5 0-933,-2 3 1111,-6-1 0,-8-3 0,-3-2 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4.8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 1 7804,'-7'20'0,"0"0"-39,-1 0 1,1 6 38,0 4 0,3 7 365,2 3 1,2 7-237,2 4 1,2 4-442,3-2 1,0-2 238,-3-6 0,2-4 55,-4-1 1,4-3-125,-2 0 0,3-5 82,3-5 0,3-3 60,4-1 0,21-11 0,4-3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5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7799,'4'11'0,"-1"2"-130,5-4 1,-1 3-276,3-2 1,-2 2 302,4 0 1,0 4 301,2 3 1,0 0 155,0 2 0,0-1-214,-3 3 1,1 2 79,-5 1 1,1 1-94,-6-1 1,0 1-303,-4-1 0,-2 3-51,-3-1 0,-3 1-89,1-5 1,-3-2 152,3-3 1,-4 0-199,1-5 358,2-1 0,-19-34 0,-1-8 0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5.3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64 7774,'22'-10'0,"-4"0"-234,-2-2 0,1 0 93,-3 5 1,1-1 618,-3 6 0,1-1-175,2 3 0,-4 4-157,1 0 1,-4 3-2,-1 0 0,-1 0 3,-3 3 0,-1-2-74,-2 4 0,-1 1 66,-1 3 0,0 0-166,-2 3 0,0-1-10,-1 1 0,-1 0-98,1-2 0,2-2-35,0-3 0,3 1-220,0-4 1,1-3 133,4-3 255,3-3 0,37-37 0,9-10 0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6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375 1 7781,'-10'2'-276,"1"0"1,-4 4 109,2-2 1,-2 3 165,1 0 0,-1 3 191,1 2 1,-1 2 293,-1 2 1,0 5-173,0 2 1,-3 8-105,1 2 0,-3 8-65,2 9 0,-1 8 3,1 8 0,-2 10-323,3 7 0,-1 6 327,3 5 0,1 5-178,1-3 1,2 1-3,3-6 0,1 1-46,1 0 1,2-2 69,3-3 0,3-7-148,2-9 0,4-5-85,3-5 1,4-3-268,3-6 0,2-7 81,3-10 424,4-3 0,3-5 0,2-4 0,-1-2 0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6.6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234 0 7715,'-9'4'0,"-4"-3"0,-4 4 0,2-1-270,1 6 0,-4 2 45,0 6 1,-2 10 447,-1 11 1,4 9-132,1 6 0,1 10 74,5 6 1,-2 9-256,5 0 1,-1 1 94,6-5 0,1-4-62,6-5 0,3-4-62,9-10 0,3-7 118,6-9 0,34-8 0,10-5 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6.9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7705,'7'10'0,"1"-2"-99,1 3 0,2 2-135,3 2 1,1 3 206,1 1 0,2 6 63,4 3 0,1 2 176,1 4 1,1 0-97,-4 0 1,1 0 197,-6 0 0,0 0-129,-4 0 1,-3 1-242,-4 1 0,-2 3 99,-3 3 0,-6 5-124,-4 4 1,-5-4-309,-4-1 1,-2-2 171,-3-1 0,2-3 217,-1-11 0,-21-47 0,-5-20 0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7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57 7692,'0'-7'7,"0"-2"-5,0-1 1,0 1 79,3 2 1,-2 3 126,4 2 0,0-2-273,2 2 1,0 0 85,0 2 0,2 3 17,1 2 0,2 1 9,0 1 1,-2 0-74,0 0 1,-3 1 83,0 1 1,0 2-138,-3 3 0,2 0 71,-4 1 1,0-1 57,-5 0 1,-1 0-10,-6 0 0,2 0-5,-4 0 1,0-1-65,-2-1 0,1 2 23,1-3 1,-1 0-79,4-2 0,0-4-137,5 0-89,-3-3 0,7 1-54,0-3 1,8-1 120,6-1 1,1-2 46,6-3 0,0 0 194,5 3 0,62-15 0,-34 9 0,-1 0 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7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1 120 7688,'5'3'0,"2"-2"-402,1 1 1,0-2 48,-2-2 0,3 0 395,1-2 1,2-1-69,1-2 0,1-2 214,2-1 0,1 1-127,1 2 0,0 0-234,-4 0 1,1 0 42,-2 0 1,-1-1 129,-3 1 0,-7-6 0,-2-2 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7.8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0 7670,'-4'8'0,"0"1"-104,2 0 1,1 2-201,-1-2 0,1 2 233,1 3 0,0 3 185,0 2 0,0 1 1,0-2 1,2 3-109,0-2 1,3 1-26,-2 1 0,2-3-2,0-1 0,-1-2 20,0-1 0,-2-10 0,1-1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3:59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0 7745,'-4'0'-375,"1"0"486,3 0 95,-3 0 0,2 1-81,-1 1 0,1 2 77,1 3 0,1 2-119,1 3 0,0 0-151,3 7 1,-4 3 96,1 4 1,-1 4-136,-1 3 0,0 2 161,0 0 1,0 0-35,0-2 0,-3 0-229,-2-5 1,1-2-93,0-8 1,2 0-140,0-4 0,1-3-10,1-2 449,0-1 0,-3-10 0,-1-3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0.3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8 128 7748,'-4'3'-276,"1"-2"1,7 2 377,3-3 1,5 0 17,7 0 0,7-1 166,4-1 1,8 0-103,3-3 1,7 3 99,5-3 0,4 1-171,4 0 1,3-3-1,0 3 1,5-2-16,-2-2 0,1 1 60,-6 0 0,1-1-183,-1-1 0,-2 1-82,-4-1 0,-10 2-197,-8 2 1,-3 0 11,-3 2 1,-5-1-215,-3 1 1,-6 1-647,-2 2 1152,-4 0 0,-21-3 0,-7-1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1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57 0 7315,'-5'0'1492,"0"0"-1260,4 0 82,-2 0-153,0 0 0,2 1-133,-1 1 0,-2 0 70,2 2 0,0 1-169,2 2 0,0 3 54,0 2 0,0 3-62,0 4 0,0 0 29,0 7 0,0 0-65,0 2 0,0 1 16,0-1 1,0 0 29,0 0 1,0-3 42,0-1 1,-3-3 7,1-2 1,-3-2 25,3-3 0,-3-3-26,3-1 1,-1-6 26,0-1 10,3-2-3,-4-1 1,4-4-35,0 0 0,0-6 1,0-2 0,0-2 15,0-2 1,0 0-2,0-3 0,1-2-132,2-2 0,-2-1 46,4 3 1,-1 0 86,0 0 0,3-3-3,-3 1 1,4-1 10,1 3 1,-1 1-31,1 1 0,2 2 20,1 2 1,-1 5 106,1 3 1,-3 3-56,3 4 1,-1 1-89,1 1 0,-2 2 45,-3 3 1,-1 1-53,-1 2 1,0-3 37,-2 3 1,-1-1-4,-2 0 1,-1-1 4,-1 1 0,-1 1 6,-2 0 1,-4-1-121,2-2 1,-2 1 69,-1 1 0,2-1-133,-4 2 0,3-3 85,-3-3 0,3 2 159,-3-4 1,2 3-74,-1-3 1,2 1-5,0-3-3,1 0 135,1 0 0,3 1-49,1 1 0,3-1-39,0 4 0,3-3-12,1 3 1,3 0 5,0 2 0,1 1-137,1 1 1,1-1 69,2 1 1,1-1-91,-1-1 0,-1 0 13,1 0 0,0-2-173,2 0 1,0-3-11,0 3 0,-2-4 306,-1 2 0,1-2 0,-1-17 0,-1-4 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1.8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71 7744,'0'4'112,"0"1"101,0-3 0,3 2-224,2-2 0,1-1 58,1 1 1,3-2-38,2-2 0,1 0 109,1-3 1,0 3-386,0-3 1,3 1-16,-1-3 1,1 0-155,-3 3 1,-3-3 434,-2 3 0,-4-15 0,-2-4 0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1.9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1 7732,'-7'4'-448,"3"1"272,-1-2 1,3 2 273,0 0 1,1 2-79,1 2 0,0 2-1,0 3 1,3 0-51,2 1 0,1 1 0,1 0 0,0 2-62,0-2 0,1-1-122,-1 2 0,-1-3-9,-1-3 1,1 0 223,-1-4 0,-2-13 0,0-2 0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2.4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42 7718,'4'1'-672,"-2"1"0,0 2 615,0 3 0,-1 4-23,1 3 0,0 4 176,0 3 0,-1 3 95,1 2 0,-2-1-121,-2 1 1,-2-3 20,-3 0 0,1-2-84,1-2 0,-1-2 78,4-6 1,-3-3 16,3-3-51,0-3 1,2-2-44,0-5 0,0-5 3,0-1 0,0-3-28,0-3 1,3 1-1,2-2 0,-1-1-1,3-2 0,-1-3 59,3 1 0,0-1 1,0 3 0,0 0 9,3 0 0,-1 0 97,4 2 0,-4 5-70,1 2 0,-1 5-29,1 0 1,-1 5-98,-2 0 0,-3 2 103,1 2 0,-4 2-194,2 3 0,-4 2 41,1 1 1,-1 2 39,-1 0 0,-4 1 13,-3-2 0,-1 4 4,-3-3 1,1 2-2,-2-4 1,2 1 8,-2-1 0,-2 2 158,3-3 1,-2 0-63,1-2 0,2 1 307,3-1-297,-3 3 0,5-2-60,1 1 1,2-1-6,2-1 0,3-1-104,2-1 0,2 1-129,2-1 0,2 0 52,3 0 0,0 1-154,1-4 1,1 1-31,0-1 357,1-1 0,16-10 0,5-7 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2.6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64 7698,'-2'8'-48,"0"0"0,-1 1 0,3-1 0,0 0-69,0-3 1,0-1 86,0 1 0,3-2 253,2 0 0,-1 0-72,1-3 0,-1 0 69,3 0 0,1-3-52,-1 0 1,1-3-270,-1 0 1,2-1-10,-4 0 1,0-3-15,0 1 0,-2 1-288,-3 1 0,-1 0 194,-1 0 1,0 0-168,-3 1 1,1 1 384,-3-1 0,-16-6 0,-4 0 0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2.9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161 1 7698,'10'3'0,"-1"1"0,3 3 327,-3-1 1,2 0-68,-2 1 0,-1 3-203,1 2 0,1 0 115,0 4 1,2 1-1,-3 4 1,0-1-12,-5 3 0,0 2 43,-4 3 1,-1 3-98,-2 3 1,-4-3 60,-4 1 1,-3-2-322,0 4 1,-3 2-23,-2-1 1,-1 0-134,-1-3 0,0-3-10,0-4 0,0-2-323,0-5 0,0-4 641,3-9 0,-6-7 0,2-6 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3.3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240 1 7722,'-18'7'-142,"-3"2"1,0 2-296,-3 3 0,2 2 277,1 5 0,1 3 211,1 6 1,0 5 74,5 7 1,1 2-99,6 2 0,1 1 76,1 3 0,0 0-128,3-1 0,0 0-49,4-6 0,5 0-73,5-3 1,5 0-323,1-4 468,3-6 0,22-13 0,6-4 0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03.7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15 7706,'4'-1'-1119,"-1"-1"860,1 1 0,2-4 364,0 2 1,0 1-110,2 2 0,-1 0 73,3 0 0,-3 0 178,3 0 1,-3 3-91,3 2 1,-1-1-109,0 0 0,0 1-9,-4 2 0,1 0 22,0 0 1,-1 0-1,-1 0 1,0 0-10,-2 0 1,1 0 14,-3 1 0,-4 1-7,1 0 0,-3 3 19,-2-3 0,2 3 18,-2-2 1,1 1 93,1-1 1,-1-1-67,3-2 0,2 0-108,0 0 1,1 0-1,1 1 1,3-5-115,1 0 1,3-2-20,3-1 0,3-1-182,2-2 1,2-3-67,3-3 0,-2-4 363,3 1 0,10-13 0,5-5 0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1.7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85 0 7207,'-4'0'695,"1"0"-106,0 0-429,2 0 0,-4 3-60,2 2 0,0 4-109,1 2 1,1 6-14,-1 6 1,-2 7-111,-1 11 1,1 6 113,-1 4 1,1 7-33,-3 4 0,0-3 89,0-4 1,0-4-55,3-6 1,0-4-109,4-10 1,7-2 76,2-9 0,4-3-664,4-1 710,1-3 0,16-5 0,2-1 0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2.4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55 191 7695,'-7'0'0,"0"0"0,1-1-133,1-1 1,-1-1 104,1-2 1,2-1 13,1 1 1,2 0 29,2 0 0,3-1 10,4 1 0,3 0 248,4 0 0,1-1-90,2 4 1,3-3-155,-3 3 1,5 0 10,-3 2 0,2 3-105,-2 1 1,3 6 57,-1 2 1,-1 1-125,-4 1 0,-3 3 104,-1-1 1,-1 3-128,-6-3 0,-1 3 88,-6-2 0,-2-1 14,-3-2 0,-3 0 54,-9 0 1,-1 0-46,-3 1 0,-3-4 96,1 1 0,-5-1-44,2 1 1,-2-3 10,4-4 1,-2 0-4,3-2 1,0-2 7,4-3 1,3-2 10,4-3 0,3-3-32,4-2 0,-1-4 90,4 0 0,4-4-79,5 1 1,4-3 104,5-2 1,4-2-133,4 3 1,3-1-7,-2 3 1,6 1 14,2 1 0,1 0-16,2 5 1,-3-1-101,0 6 1,-1-1-190,1 3 1,-2 0 306,-3 0 0,10-22 0,2-5 0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3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43 43 7695,'-1'5'50,"-2"0"0,2-1-50,-4 0 0,4 3-80,-2-3 1,0 5 73,1 0 1,-1 6-2,3-1 0,0 5 53,0 0 0,0 1 141,0 1 1,0 3-5,0-1 0,0 1-91,0-3 0,-2-3 67,0-1 0,-2-1-154,2-2 0,1-1 15,-1-6 0,0-3 160,0-2-34,1-1-265,-2-1 0,3-4 46,0-3 1,0-1-29,0-4 1,0 2 96,0-4 0,1 1-153,1-3 0,2-1 52,3 0 1,0-2 41,0 0 0,0 1 10,1-1 0,1 0-23,0-2 0,2 2 148,-2 0 0,0 1-111,2 0 1,1-2 190,2 4 1,0 2-66,0 5 1,1 2-12,-1 2 0,-1 2-32,-1 3 0,-2 3-38,-3 2 0,-1 2-10,-1 2 1,-2 0-10,-3 3 1,0-4 32,0 2 0,-1 0-15,-1-1 0,-2 3 81,-3-3 1,-1 1-72,-1-3 1,1 0-9,-2 0 1,0-1-35,1-1 0,-4 0-6,2-2 0,0-1 10,-1-2 0,2 2-98,-1 1 0,2-1 88,0-2 1,0-1 2,0-1 1,1 0 59,-2-2 0,5 1-59,0-1 0,1 1 150,0-1 0,0 1 64,1-1-20,2 2-91,-2-1 37,3 3-22,3 0 1,1 3-41,3 2 0,1 1-10,-1 1 0,0 3 4,0 2 0,2 1-28,0 1 0,3 3-38,-2-1 0,0 1-5,-1-3 1,0 2 36,3 1 1,-4-1-13,2-2 0,-2 0-102,-1-2 0,-1 0-172,-1-3 1,0 1-253,-3-3 0,1 0 213,-3 0 0,0-2 316,0-1 0,-10-8 0,-1-1 0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3.6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8 100 7376,'-4'0'-48,"1"0"662,3 0 0,3 0-531,2 0 1,1 0-111,1 0 0,1-3 28,1 1 1,0 0-133,3 2 0,-3-3-11,3 1 1,-1-3-215,0 3 0,2-3-104,-4 3 1,3-3 233,-2 3 0,-2-4 226,-3 2 0,0-3 0,-2 0 0,-10-12 0,-5-4 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3.8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8 7691,'-8'0'-189,"4"-1"63,-1-2 1,3 3 209,-3-3-2,3 3-119,-1 0 1,3 3 98,0 1 0,1 5-21,1 0 1,0 6 64,3-1 1,-3 3-165,3-1 1,-3 2-7,3 0 0,-3 4-138,3-3 1,-4 3-152,2-3 0,-2 0 60,-1 0 293,0-1 0,-4-7 0,1-1 0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4.5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106 99 7306,'5'-1'50,"-1"-1"0,1 1-7,2-1 0,0-1 156,0 0 0,3 1 31,2 2 1,2 0-144,0 0 1,0 0-86,0 0 0,1 1 52,1 1 0,-1 2-37,2 3 0,-5 0-81,0 0 1,-4 3 86,2-1 0,-3 3-90,-2-3 1,0 3 58,-3-3 0,-2 4-44,-2-1 1,-6 0 11,1 0 0,-5 1-72,-2-1 1,-1 1 106,-4-2 0,-2 3 4,-3-2 0,1-2 70,2-1 0,-1-3-86,1-2 0,0-2 4,0 0 1,3-1 59,1-1 1,3-1 138,2-1 1,2-2-116,3-3 0,3-1-39,-1-1 1,3-2-32,0-3 0,4-3-11,3 1 1,4-3-76,0 2 1,4-2 90,1 0 1,3 1-84,2-1 1,3 3 60,0 0 1,1 3-109,1 2 0,-2 0 8,4-1 0,-2 3-90,2 4 0,-4-1 124,2 1 82,-2-1 0,-1-5 0,0 0 0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5.1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1 7618,'0'4'-34,"0"1"0,0 0 34,0 2 0,1 2-53,1 1 0,0 5 42,2 2 1,-1 3 276,2 4 1,-4 3-82,1 4 0,-1 2-41,-1-3 0,0 1-195,0-3 0,0 2-178,0-2 0,0-2 196,0-7 0,-1-3 48,-1-4 21,1-2-75,-2-6 0,1-2 6,-1-4 0,1-2 1,2-3 1,0-1 17,0-1 1,0-2-27,0-3 1,0-3-87,0 1 1,2-4 93,1 1 1,2-1 5,0-1 1,1 0 16,1-1 0,-2 1-38,0 0 0,2-3 201,2-2 1,4 1-14,-1-1 1,-1 4-13,3 1 1,-1 4-68,3 5 1,2 2 23,-2 6 1,1 2-40,-3 7 1,-3 0 5,1 7 0,-3 0-39,0 2 0,-4 0 22,-3 0 0,-1 0-48,-1 0 0,0 0 25,0-3 1,-5 2-3,-2-4 1,-5 3-27,0-2 0,-4 1-88,-3-1 1,-2-1 10,0-2 0,0 0 46,0 0 0,0-2 29,0 0 1,2-4-22,3 2 0,2-3 128,2 0 0,2-2-62,3 0 25,3-4-13,1 5 1,6-2 85,2 3 0,4 3-24,3 2 1,-1 2-59,1 3 1,2 0 13,2 2 1,1 1-9,-3-1 0,2-1-157,1 0 0,1 0-42,-1 1 0,-1-2-139,-1-3 1,-1 0 66,0 1 0,-3-5-58,1 0 1,-3-2-538,0-1 816,-4 0 0,-11-19 0,-6-5 0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5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36 7665,'3'4'0,"-1"2"-100,2-1 0,-2-1-171,0 1 0,2-2 227,1 2 1,-1 1 168,1-1 0,-1 1-33,3 2 0,0-4 177,1 1 1,-1-1-151,0 1 1,0-2-36,0 0 1,0-2-101,0 1 1,0-1 73,0-1 0,-2 0-13,-1 0 1,-2-3-28,0-2 1,1-1-21,0-1 1,-1 0-20,-2-1 0,0-1 40,0 0 1,-3-1 2,-2 3 0,-1 0 7,-1 0 0,0 0-35,0 0 0,0 1 24,0 1 1,0-1 1,0 4 1,0 0-127,0 2 0,-1 0-480,1 0-247,0 0 571,0 3 0,3 0 262,-1 2 0,19-2 0,2-3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5.9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98 1 7666,'0'4'-55,"0"2"0,0-4 74,0 2 1,0-1-118,0 1 0,0-1 162,0 1 0,2 1 5,1 2 0,2 0-27,0 0 1,1 3-31,1-1 1,1 4-8,2-2 0,-2 5-7,4 1 0,0 2-20,2 0 1,0-1 53,0 1 1,-1 0-9,-1 2 0,1 2 55,-1-2 0,-2 1-53,0-3 1,-6 2 71,-1 0 1,-2 0 4,-1 0 1,-2 0 10,-3-3 1,0 3-34,-7-2 0,-2 3-1,-2-1 0,-4 1-6,1-6 1,-1 3 8,-1-3 0,-2 1-456,2-3 1,-2-2 139,4-1 0,2-4 14,0 0 1,3-3-8,3 1 0,3-2-122,3-3 1,3 0 347,0-3 0,11-26 0,2-9 0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8.2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7 7700,'-3'0'-1143,"0"0"1726,2 0-316,-1 0 0,2-1-254,0-1 78,0 1 1,0-2 34,2 3 1,1 0-16,1 0 1,0 0-7,1 0 0,0 0-116,1 0 1,-1 0 103,1 0 1,1 0-172,-1 0 1,2 1 33,-2 1 1,0 0-97,-1 3 0,-3-3 153,2 3 1,-2-1-27,1 3 0,-1 0-113,-2 0 0,-2 1 71,-1 2 0,-1-2-5,-2 3 1,-1-2 16,-3 4 0,3-4 243,-1 2 0,1-2-22,-1 0 0,2 1-31,1-3 1,2 2-133,0-5 1,2 0 4,0 1 0,1-4-81,1 2 0,3-2 108,4-1 0,2-1-350,0-2 1,2 0 107,4-5 0,0-1-722,4 0 917,0-4 0,30-10 0,7-7 0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18.7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0 7714,'-5'1'0,"1"1"0,1-1-250,-1 2 147,2-3 188,-1 0-102,3 4 0,1-3-15,1 4 1,2-4 171,3 2 0,1 0 193,1-1 1,0 1-281,3 0 0,-3-2 24,3 4 0,-1-1-146,0 1 0,0 0 92,-1-3 1,-5 4-247,2-1 98,-1 1 0,0 1 67,-1 0 1,-3 0 71,-4 0 0,-2 3 4,-3-1 1,-3 0 93,1-2 1,-3 3-109,3-1 1,-3 1 170,3-3 0,0 0-72,4 0 0,0 0-79,3 0 1,-1-2-18,3-1 1,2-2-107,2 0 0,3-1-6,7-1 1,-1 0-216,6 0 1,0-3-745,2-2 1064,3-1 0,23-20 0,9-5 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23.9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7673,'0'7'110,"0"-2"42,0 0 1,1-4-100,1 1 1,0 2-44,2-2 1,-1 3 50,1-3 0,-1 3-46,1 0 0,1 1 74,2 2 0,-1 1-79,-1 0 1,1 4 42,-1-1 0,1 1-157,1 1 1,-2 0 62,0 0 0,-1 0-57,0-3 0,0 2-108,-1-4 0,-3 3 42,3-3 0,-2 1-77,-1-3 0,2-2-164,0-1-91,1-2 496,-3 1 0,0-3 0,-7-6 0,0-2 0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24.2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21 7673,'4'0'273,"1"0"0,-3 1-344,3 1 1,0-1 57,2 1 0,0-1 4,0-1 1,1 0 52,1 0 0,0 0-16,2 0 0,0 0 45,1 0 1,2 0-1,-3 0 0,3 0-297,0 0 1,-1 0-426,-1 0 0,0 0 28,-2 0 621,-1 0 0,-5-12 0,-1-4 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24.6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7673,'4'4'-674,"-4"-1"0,7-2 847,-3 1 0,0-1-71,1 1 0,0 1 195,2 0-164,0 2 0,0-1-11,0 3 1,0-1-121,0-1 1,-1 1 0,-1-1 1,-1 1-17,-2 1 1,-1 0 51,1 0 1,-1 0-50,-1 1 0,-1-1 17,-1 0 1,-2-1 71,-3-1 0,0 3-16,0-1 1,0 0 14,0-3 1,0 1-5,0 2 1,2-2 256,0-1-174,4-2-3,-2 4-118,3-5 1,3 2 34,1-3 1,5 0-128,0 0 1,4 0-4,-1 0 1,2-2-86,2-1 0,-1-1 70,2 1 0,-2 0-98,-1 1 1,0 1-233,0-1 1,-3-1 1,-2 0 402,-1-2 0,-26-18 0,-6-7 0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2.4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592 424 7769,'21'-38'6,"3"1"-3,-1-2 1,3 0-633,-2 2 1,2 1 470,-3 3 1,1 0 517,-3 4 1,-3 5-160,-2 4 0,-2 1 52,-2 5 0,-2 1-2,-3 5-61,-3 3 0,-4 9-208,-7 3 0,-4 6 18,-3 4 0,-4 9-98,-3 5 1,-4 8 88,-6 3 1,-4 10-33,-5 2 0,-1 6-176,-2-2 0,0 6 107,-2 3 1,-4 12-110,22-38 0,0 2 1,-1 2-1,1 2 200,0-1 0,0 1 0,1-1 0,0 0 121,2 0 0,1-1 1,-21 39-187,7-6 0,3-11 254,8-13 1,5-5-42,4-9 0,6-6-81,4-9 1,4-6 143,6-10 0,4-3-119,4-6 0,6-5 497,2-4 0,4-5-508,3-9 1,2-3 379,3-2 0,4-8-183,5-3 0,3-5-12,1 0 0,6-6-375,7-5 0,5-3 134,4-4 1,-1-1-70,-1 3 0,-1 3 55,1 0 0,-2 3-34,-3 4 1,-7 6 33,-7 8 0,-4 5-8,-3 3 1,-5 6-67,-9 5 1,-8 8-126,-9 9 1,-3 5 41,-4 7 1,-6 2-98,-4 9 0,-3 4 198,-4 6 1,-4 6-99,-5 5 0,-1 1 212,-1 3 0,-3 0-104,1 0 1,-6 2 172,0 0 1,0 4-15,3-1 1,2-3-44,3-5 1,3-5 33,4-1 1,4-8 88,5-6-107,5-8 0,8-11-52,6-6 1,6-7 27,6-6 0,5-6-18,2-6 0,4-6 45,3-3 1,7-3-38,2-4 0,5-2-5,-3 1 1,4 0-39,-1-2 1,3 0-10,0 1 1,-3 7-82,-7 6 1,-8 10 71,-6 6 0,-8 6-255,-6 8 1,-6 10 68,-9 5 0,-4 10 94,-7 2 0,-5 9 65,-4 1 0,0 7-7,-3-4 1,-2 6-14,-2-1 0,-6 4 109,3 2 1,0-2-244,5 0 0,1-1-214,1-1 0,2-3 412,6-6 0,0-7 0,4-7 0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3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281 182 7732,'-3'-6'-198,"0"-3"-52,0 0 1,3-1 290,-2 2 0,1-1 213,1-2 1,3 3-38,1-1 0,1-2-126,2 3 0,-2 0-114,1 0 1,-2 4 190,0-1-205,-2 3 0,0 2-6,-2 5 0,-4 5-200,-1 1 1,-4 1 129,-6 5 0,-1 2-46,-2 3 1,-3 4 157,-3-4 1,0 1-63,1-1 0,-2 0 216,0-1 1,2-2-115,3-3 1,3-4 117,1-3 1,4-1-33,5-6 0,2 0-40,4-4 1,1-5-8,1-4 0,4-1-12,2-3 1,2 2 30,3-4 1,0 1-8,2-4 1,2-1 44,1 2 1,1-3-68,-1-1 1,3 3 88,-1-3 0,2-1-116,-1 3 1,-1 0-88,-3 6 1,-3 4 77,-3 3 1,-2 3 2,-2 3-21,-3 1 0,-3 4-22,-3 2 1,0-2 140,-1 1 0,2-1-80,0 1 10,-1-3-59,2 2 0,-1-3 1,4 0-13,2 0 1,1-2-123,1 0 0,1-2-11,-2 1 1,1-1 19,2 2 0,-1-2-308,0 1 1,2-1 159,-1 1 0,1 1-390,-2 2 0,1 0 659,2 0 0,25 12 0,9 3 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4.1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40 208 7726,'-6'0'-182,"-1"0"0,0 0 73,1 0 0,1 0 491,1 0-320,2 0 0,0 0-63,4 0 0,4 0 79,6 0 1,1 0 74,0 0 0,4 1-35,1 1 1,4-1 13,3 2 0,1 0-79,1-1 1,6 0 4,4-2 1,4 3 58,8-1 0,5 1 18,7-3 0,5 0 2,-1 0 1,5 0-221,1 0 1,8-4 187,2 0 1,1-3-11,-1-3 1,3-2 12,5-4 0,3 1-332,-1-1 0,-43 7 1,-1 0 270,41-7 1,4-1-140,0 3 0,0 1 32,-2 1 0,-3 0-167,-6 2 1,-5 2-155,-3 3 1,-3-1 73,-6 1 1,-4 2 38,-8 1 1,-5 1-249,-4 1 516,-5-3 0,-1 4 0,0-1 0,0 2 0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5.1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50 0 7686,'-5'3'178,"1"-1"1,-1 3-169,-2-3 0,2 1-172,0 0 0,3-2 123,-3 4 1,3 0 6,-3 2 0,4 1 18,-2 1 0,3 2 3,0 3 1,0 3 179,3 2 0,-2 4-117,4 0 0,-3 4-17,3-1 1,-3 1-3,0 2 0,1-2 12,-1-1 1,1 0 14,-3-2 0,0 0 90,0-3 1,0-3-116,0-2 0,-1-2-5,-1-2 1,0 1 3,-3-4 1,4 0 20,-1-2 0,1 1 77,1-1-105,-3-4-26,2 1-19,-2-4 1,3-1 1,0-2 1,0-1-16,0-6 1,0 2 45,0-4 0,2 0-45,0-2 1,2-1 29,-2-1 1,-1 0-12,1-3 1,1 0 45,-1-2 1,2 0 85,-2 0 0,1 0-66,2 0 0,1-1 80,-1 1 1,2 0-82,2 0 0,0 3-2,3 1 1,-1 1 3,0 2 0,3 1 2,-3 6 1,0 1-130,1 1 1,-1 0 69,1 2 0,0 1-86,-2 2 1,0 2 35,-1 1 1,-1 2-122,2 0 0,-3 1 138,-3 1 1,2 0-29,-4 0 1,1 1-76,-3-1 1,0 2 13,0 0 1,-3 1-1,1-3 1,-4 2 28,-1 1 1,0-1 0,-3-2 1,-1 0 23,-1 0 1,1 2-7,0-2 1,0 2 83,-1-5 0,-1 0-83,4 1 0,-3-1 83,3 0 0,-3 0-108,3-1 155,-1-2 1,4 2 56,1 0-36,2-2-35,3 5 0,3-3 10,2 2 0,1 1-42,1-1 1,3 1 9,-1 1 1,4 2 10,-2 1 0,0-1 0,1-2 0,-1 3-110,1-1 1,1 1-17,-1 0 1,1-2-180,-2 1 1,0-1 61,-1-1 0,-2 0-143,1 0 1,-1-1-3,-1-1 357,0 1 0,-3-8 0,-1 1 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5.4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86 7697,'2'0'-390,"0"0"852,0 0 0,1 0-117,-1 0 0,0 0-130,0 0 0,1 0-289,0 0 1,-1 0-386,1 0 1,0 0 226,0 0 0,1-1-5,-1-2 1,0-1-283,0 2 0,1 0 519,-1-2 0,0-26 0,-1-9 0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5.6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7684,'0'7'-472,"-1"0"1,1 0 377,0 0 0,0 0 215,0 1 1,0 1-89,0 0 1,0 4 99,0-1 0,0 3 12,0 2 1,1-1-95,0-2 1,-1 3-223,1-1 1,-1 1-33,1-3 1,0-3-144,0-2 1,-1 1 345,1-3 0,1-27 0,1-11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6.1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29 7677,'4'-1'0,"-2"-2"761,-1 3-422,2-4 1,-1 5-509,3 2 1,-4 1-7,1 6 1,2 1-3,-2 6 0,3 1 175,-3 3 1,0 1 37,-2 2 1,0 0-156,0 2 0,0-2 93,0-3 0,-2 0-70,0-3 0,-4 0 90,1-4 1,2-3 5,-2-2 26,3-4 1,-2-2 71,2-3 0,1-1-79,-1-1 0,1-3 90,1-4 1,0-2-77,0-3 0,2-1 14,1-2 0,2 2-139,0-4 0,1-2 99,1-3 1,-2 1-13,0 1 1,2 1 37,2 0 1,1 0 4,0 0 1,-2 3 72,4 1 0,-1 6-57,1 1 0,0 5-154,-2 3 1,2 1 132,-3 1 0,0 3-119,-5 2 1,2 1 13,-4 1 0,1 1 18,-3-1 0,-1 2-17,-2 0 1,-1 3-13,-3-2 0,-2 0-21,0-1 0,-3-1 54,2 1 1,-1 2 66,1-2 0,-2 0-58,3-2 0,-3-2 96,3 0 0,-3-1-30,3 0 0,-3 0 54,3-4 20,-1 0-33,3 0 0,3 0 7,2 3-29,1-2 1,4 5 98,2-1 1,1 1-104,1 1 1,1 0 90,1 0 0,0 0-72,3 0 0,-3 0-147,3 0 1,-3 0 84,3 0 0,-2 0-310,1 0 0,-2 0 60,0 1 1,2-4-47,-2 1 0,1-3-379,0 3 678,-3-3 0,10-15 0,-2-7 0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6.47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90 29 7663,'2'7'-112,"0"0"1,1 3-244,-3-1 0,2 0 292,0-2 0,1 0 286,-3 1 0,2-1 12,1 0 0,1 0-120,-1 0 0,2 0-151,0 0 1,1-2 131,1-1 1,0-2 185,0 0 0,0-1-115,0-1 1,0-3 84,0-2 1,0-2-286,-3-2 1,3 0 55,-3-3 1,2 1 30,-1-4 0,-2 4-51,-3-1 1,0 3-169,0 0-30,-3-2 0,-4 3 5,-2-1 1,-4 4 101,2 3 1,-5 1 63,-1 1 0,0 1-67,1 1 0,-1 2-114,-2 3 1,-1 2-96,4 1 1,2-1-104,2-2 403,3 0 0,8-6 0,6-2 0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7.3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572 1 7755,'-7'0'8,"-2"0"-5,-1 0 1,0 0-11,1 0 1,0 0 146,-3 0 1,3 0-168,-3 0 0,1 1 83,0 1 0,-5 0 42,2 2 1,-2 3 44,2 3 1,-1 0 8,-1-1 1,0 2-40,-3 4 0,3-1-4,-3 3 1,1 1-79,0 3 0,-1 1 83,-2 2 0,1-2-88,-1 4 0,1 2 43,-3 3 0,1 5-12,1-1 1,3 3 27,1 0 0,2 4 8,1 5 0,3 5-38,2 2 0,3 2 4,1 3 0,4 4-31,-1 6 0,3 8-149,1 4 1,4 4 82,-1-4 1,3 5 41,2 1 0,0 5-9,-1-8 0,2 1-36,3-10 0,1-1-108,2-1 1,1-4-88,3 1 1,4-7-295,3-4 1,2-5-954,5-2 1483,3-2 0,5-4 0,-1-1 0,0-2 0,1-1 0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8.0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304 1 7701,'5'0'-282,"-1"3"0,-1-2 368,1 4 0,1 0-58,2 5 0,2 0 44,1 4 0,5 5-68,-1 5 1,2 3 157,1 5 0,1 4-47,3 7 0,-3 3-39,-2 1 0,-1 3-2,0 2 1,-5-2-41,0 0 0,-2 2 19,-1 0 0,-3 0-10,-2-4 1,-2 2 89,-2 0 1,-2 5-31,-3-3 0,-3 4 12,-2-6 1,-2 2 15,-3-2 0,-1 0 123,-3 3 0,-1-3-201,-1-4 0,-3 0-3,-2 4 0,-3 2-469,-2 0 0,2-3 233,0-4 0,2-3-536,1 1 0,0-8 256,-1-5 1,4-4 144,2-10 0,4-4 321,2-8 0,3-25 0,-1-9 0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8.5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43 7680,'7'-3'-494,"0"-2"1,-1 1 122,-1 0 0,1-1 599,-1-2 0,1 2-102,1 0 1,0 4 129,0-2 1,0 3-43,1 0 1,1 0 0,0 0 0,1 2-145,-3 0 1,0 3-5,0-3 0,0 3-111,0-3 1,0 3 132,0-2 0,-1 2-119,-1 0 79,1 1 0,-3 1-115,2 0 1,-2 0 4,-3 0 0,0 3 35,0-1 1,0 1 51,-3 0 1,-2 0 13,-4 2 0,1 1 70,-1-1 1,1 0-86,1 0 1,0 1 39,0-4 1,0 3-43,0-3 1,3 1 2,1-3 0,3 0-17,0 0-102,0 0 0,3-3 35,2-2 1,2-1-128,2-1 0,2-1-193,3-1 1,0-1 122,0-2 1,4-4 255,0 2 0,34-36 0,8-7 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4:49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212 1 7518,'0'4'66,"0"1"0,0-3-24,0 3 0,1 0-199,2 2 1,0 3 158,1 2 0,3 1 74,1 1 1,-1 3-1,2 2 0,2 5-62,1 2 0,0 1-135,0 1 0,1 4 132,-1 1 0,1 4-4,-2 3 1,0-1 24,-1 2 0,-2-4-12,1 3 1,-2 2 40,-2 0 0,-1 4-38,-2-4 1,-1 1 105,1 3 1,-1 4 8,-1 1 0,0 1-17,0-2 0,-1-4-69,-1 1 1,-2 1 5,-3-2 1,-1-1 100,-1-1 0,1 0-95,-2 1 0,-1 3 9,0 0 1,0-2-12,-1-3 0,0-1 9,-2 0 0,0 3-50,0-2 0,0-2-103,0-4 0,0 0 96,-1 0 1,-1 1-79,-1 0 1,1-2-28,2-3 1,-3-1-204,1 1 1,0-3-50,1-4 1,2-2 131,1-5 1,1-2-68,2-3 0,2-3-45,0-2 323,0-4 0,3-24 0,-3-8 0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5:04.3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427 94 7839,'0'-9'40,"0"0"0,1 0 93,1 2 0,4 1-115,5 0 1,2 0-186,4-2 1,2 1 22,1 1 0,3-1 118,-1 1 0,0 2 223,0 2 0,-3 1-107,0 1 0,-4 0-18,-1 0 1,-4 1-29,1 1 1,-4 3 32,-2 3 0,-3 2 14,1 1 0,-2 2-19,-1 3 0,0 4-14,0 0 1,0 5-16,0 0 0,-3 4-2,0 8 1,-2 2 1,2 6 0,-4 6-3,2 8 0,0 7 14,0 7 1,-1 8-296,-2 0 1,2 6 226,1-3 1,-1 7-12,-2-2 0,-1 3 44,1-2 1,0-1-9,-1-7 0,2 0-105,1 0 0,0 1 109,3-8 1,0 0-23,3-14 1,0 0 44,0-6 0,0 1 17,0-8 1,0-3-4,0-11 0,3 1 97,0-7 0,0 2 2,-3-5 0,0 0 120,0-7 0,-4 2-204,-2 2 1,-5-1 20,-3 2 1,-3 1-23,-6-2 1,0 0-107,-8 1 0,-2-3-190,-3 3 0,-7-3-82,1-6 1,-5-2-322,-1-4 1,1-4 632,2-4 0,-14-59 0,2-19 0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5:04.7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54 7928,'-3'-10'0,"2"1"-839,-2 1 556,2-2 940,1 1-513,0 3 0,1 4 95,2 9 0,-1 3-189,3 8 1,-2 4 39,3 4 1,-5 0-244,2 2 0,-1 0 127,1-1 0,-2 0-114,2-3 1,-2 5-135,2-4 0,-2 1-154,2-5 0,-2-3 428,-1 1 0,0-13 0,0-6 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5:05.0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33 27 7945,'-5'3'-421,"-2"3"-153,0-4 1,1 0 100,3 1 501,-2-2 62,5 2 0,0-2 94,4 0 1,0 0 214,3 1 1,1-1-219,4-1 1,-1 0 135,2 0 1,1-1-191,2-1 1,0 1-231,-1 0 1,-2-2 9,4 0 1,-3-1-321,1 2 0,-1-1 121,-2 0 292,-1 2 0,-7-13 0,-2-1 0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1:15:05.3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7936,'0'4'-1266,"0"4"1266,0-7 0,3 2 184,1-3 0,2 1 283,2 2 0,0-2-470,2 2 0,-2-2 35,2-1 1,-2 3-68,1-1 1,-1 5 42,0-2 0,0 0-112,-4 1 0,1-1 7,-3 4 0,2-1 4,-2 0 0,0 1 71,-2-1 0,-2 3-9,0 1 0,-3 0-13,1 0 1,-1-3-12,1 2 0,2 1 399,2-1-205,0 0 0,0-3-54,2-3 1,3 2-140,5-4 1,2-1 53,6-2 0,18-18 0,9-5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4.33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0 7 9777,'7'0'134,"2"0"0,-2 0-500,2 0 1,-2 0 193,2 0 1,-1-2 168,2 0 0,-2 0 38,1 2 0,-2 0-1660,-1 0 546,1 0 1079,-1 2 0,-8 11 0,-2 5 0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4.51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 0 7757,'0'7'119,"0"-1"1,0 1 449,0-1 0,0 0-234,0 1 1,0-1-120,0 1 0,0 1-248,0 1 1,2 2 90,0 0 1,0 2-121,-2 2 1,0-2 85,0 2 0,0 1 77,0-1 1,0 2-501,0-2 0,0 0-585,0-2 0,0-1 9,0-2 616,0 0 1,1-7 357,1-1 0,5-32 0,3-9 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4.83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0 25 7757,'4'0'0,"1"1"343,-3 1 0,2 2 65,-2 2 0,0 1 106,-2 2 1,0 1-308,0 3 1,0 0-60,0 2 1,0-1-290,0 4 0,0-4 109,0 1 1,0-2 21,0-3 0,0 0-485,0-4 37,3 0 0,-1-2 187,2-2 1,-2-3-52,2-3 1,0-1 44,0-6 0,2-1 104,-2-3 1,2-3 66,0 1 1,1-3 15,2 0 1,-2 1 74,2 4 0,-2 0 176,-1 2 0,3 1 404,-1 1 0,1 5-274,-3 3 0,1 3 505,-1 3 1,0 3-189,1 5 1,-4 3-22,-1 1 0,-1 3-306,-1-1 1,0 1-126,0 2 0,0-4 55,0-1 0,0-2 210,0 0-3457,3 0 3036,1-3 0,5-12 0,1-6 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5.406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26 29 7707,'0'-6'0,"-2"2"0,1-2 0,-1 2 1453,-2 1-932,3-3 1,-1 6-58,2 0 1,0 6-173,0 5 0,0 5 17,2 3 1,-1 3-156,1 4 1,-1 3-1,-1 3 1,0 3-225,0 6 1,-3-2 109,-1 2 0,0-3-579,0-1 0,3-2 256,-2-5 0,3-3-618,0-10 1,0-4-777,0-5 85,0-4 1592,3-1 0,3-11 0,4-3 0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6.17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192 203 7707,'0'-6'0,"-2"-1"9,0 1 1,0-1-40,2 1 0,0-3 297,0-2 0,0-2-93,0-2 0,0 1-139,0-3 0,0 2 14,0-2 0,-2 2-2,0 1 1,-3 3 255,1 2 0,-4 3-61,-1 2 1,-2 4 97,0 7 0,-1 6-79,-1 6 1,-2 6 187,0 5 0,-2 5-102,2 3 0,1 3-115,3 4 1,0 4-117,5-2 1,1 1-134,5-8 1,0-5-106,0-5 0,5-4 89,1-5 1,5-6-599,0-9 1,2-2 283,2-4 1,-1 0-424,3 0 1,0-6 236,2-2 0,1-4 95,-1 0 1,0-4 219,0-1 0,-2-4 46,-2 0 1,0-3 35,-3 3 0,4-5 104,-5 3 1,0-3 44,-5 5 0,0 0-52,1 4 1,-4 0 927,-1 4-415,-1 4 1,-1 7 240,0 4 1,-2 5-230,0 3 0,-3 5 139,1 3 0,1 0-253,1 1 1,-1 3-152,1-1 0,0 3-67,2-3 1,0 0-1,0-4 0,2 1-201,0-4 1,5-1-91,-1-5 0,3-1-181,-1 0 1,0-4 101,3-1 1,-1-4-119,1-2 0,1-5 139,-2-4 0,0-3-6,-2-3 1,-1-1-14,-3-1 0,1 0 109,-3-3 1,0 2-47,-2-2 0,0 0-10,-3 3 0,-2-1-137,-4 3 1,-2 1 111,3 3 0,-3 4-134,3 6 0,-1 3-6,3 2 1,0 0-174,2 2 0,-1 5 499,3 4 0,-1 1 0,12 15 0,2 3 0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6.38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 1 7704,'4'3'78,"-2"1"1,-1 2 1167,-1 3 1,0 2-551,0 6 0,0 3-491,0 6 1,-1 0-1,-1 2 1,1 1-697,-1 3 0,-1 0-22,1-2 1,0-2-295,2-5 1,0-1-338,0-3 1144,0 1 0,3 7 0,0 3 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6.496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27 0 7685,'-7'3'-350,"1"0"350,-1 1 0,4 2 0,0-3 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7.07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58 26 7722,'0'-6'0,"-1"2"0,-1-1 0,1 3 720,-4-2 240,4 3-58,-2-2 0,3 3-489,0 3 0,0 1-48,0 4 0,0 3-33,0 4 1,2 4-84,0 5 0,0 4-42,-2 2 0,-2 1-134,-3 1 1,0 3-169,-2 1 1,1 3-145,-1 0 0,3-3-400,0-6 1,2-5 87,-3-6 0,4-3-1356,-1-5 1277,1-5 0,4-4-384,1-4 1014,2-4 0,9-21 0,2-8 0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7.398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194 19 7722,'3'-2'417,"-3"-4"575,4 2 931,-4 1-1570,0 0 0,0 4-168,-4 1 0,1 1-460,-5 4 0,0-2 218,1 2 0,-4 0-325,0 2 0,1 1 185,0-2 0,0 3-42,-3 0 1,1-2 39,-1 1 1,-1-2-117,5 3 0,-5-4 339,4 1 1,0-1-80,2 0 1,1-3 339,2 0 1,1-1 30,4-1-15,0 2 0,1 2-48,2 1 1,4 2 90,3 1 1,3 2-52,-3 1 1,4-2-114,-5 1 1,5 3-96,-1-1 0,-1 2-150,1-2 1,-3 4-104,3-4 1,-3-2-336,0-2 1,0-2-391,-3-1 0,3-2 163,-4 0 0,0-4-666,2 1 1396,0-4 0,-1-15 0,1-6 0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7.5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20 1 7702,'-3'4'0,"-1"0"0,0-2 0,0 3 0,2-3-842,0 2 842,2-3 0,5 17 0,2-1 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47.67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56 1 7702,'-7'3'1006,"1"1"0,-3 3-689,1-1 0,-1 2 1208,3-3-833,-1-3-692,4 1 0,17-8 0,7-3 0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56.2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59 186 7719,'0'-3'-562,"-2"-3"1522,1 5-645,0-2 0,1 3 103,1 0 0,1 0-261,1 0 0,1 0-60,3 0 0,1 0-166,1 0 0,0 0 111,1 0 1,0 3 82,-1 2 0,2-1-52,-2 1 0,0 0-60,1 3 0,-2 2 98,-1 0 1,-2 2 15,0 0 0,-2 1 25,-2 2 1,-2 2 146,-2 4 1,0 1-206,-6 0 0,1-1 57,-1 0 0,-1 0-184,0-4 1,0-2 43,-1-4 0,1-5-61,2-2 0,-1-2-24,-2-2 1,4-6-65,-1-2 0,0-4 75,0-2 0,-1-4-125,0-5 0,2 1 108,-2 0 1,4-1 38,-2-2 0,4 1 231,2 2 1,0 1-132,1 2 0,2 3-110,1 3 1,4 0 81,1 3 0,3 0 8,1 5 1,3-4-22,-1 1 0,4-3-5,-3 4 1,3-2-249,1 1 1,-2 0 56,1-2 1,1 2-392,2 0 1,-2 1 209,-1 1 1,-1 0-448,1 0 1,1-2 805,-3-1 0,7-1 0,-1 0 0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56.58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0 1 7730,'0'4'2,"0"0"0,0 1-156,0 1 1,0 0 567,0 1 1,3 5 959,2 3 1,-2 4-876,1 5 1,1 6-195,1 8 1,0 3 155,1 4 0,-3 0-102,0-3 1,0-1-95,0-5 1,-1-2-74,-3-6 0,2-4 0,0-7 1,1-4-21,-1-5 0,0-1-72,2-3 0,-2-2-426,3-4 0,-3 0 205,2-5 1,2 0-272,3-6 0,2-3 99,-3-1 0,4-4-51,-2-3 1,2-3-178,-2-1 0,2-2-291,-1 2 1,1-1-178,-2 1 1,2 0 469,-1 2 1,1 4 518,1 3 0,0 11 0,0 6 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57.0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45 0 7723,'-2'8'123,"0"0"1,-2 0 184,2 3 0,-3-3 447,3 3 0,-2 0-279,2 1 1,0 3-34,2 0 1,0 3-176,0-1 0,0 5 14,0 1 1,0 0-124,0 1 1,-1-3 0,-1 2 0,1-2-23,-1 0 1,1-1-105,-2-3 0,3-1-7,-2-4 0,1 0-358,1-1-85,-3-2 134,2-5-734,-2-1 619,3-6 1,0-3-42,0-5 0,0-1 117,0-1 1,0-3 82,0-1 0,0-2 109,0-2 1,3-2-71,-1-3 1,2 3 74,-2-1 90,0 3-64,1-1-72,1 0 291,2 2 1,1 0 34,-1 3 1,3 4 41,-1 0 0,3 1-38,0 6 0,-1 1 127,1 5 1,-3 0-48,0 0 1,1 1 119,0 1 1,-3 1 40,-1 4 0,-4 0-105,1 1 1,1 0 5,-1 3 1,0-1-41,-2 1 0,0 1-166,-2-2 0,0 3-15,-2-1 1,0 1-207,-3-3 1,2 2-140,-1-4 0,1 3-331,-4-3 1,2-1-458,1-3 0,-3-2 452,1 0 1,-1-2 600,3 0 0,-7-28 0,0-8 0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57.44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 32 9075,'-3'4'2338,"2"-1"-1897,-2-3-586,3 0 1,4 0 92,2 0 1,1 0-150,4 0 1,0-3-785,2-1 1,-1 0 493,1 0 1,0 0-864,0 0 1354,0-2 0,0 3 0,-1-4 0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16:57.63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 45 7681,'-3'6'5911,"2"1"-5482,-2-4 0,5 0 15,2-3 0,1 0-510,6-3 0,0 0-899,4-4 965,-1 1 0,24-15 0,3-3 0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1:58.19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48 2159 8061,'-6'0'0,"-1"0"0,2 0-522,-5 0 0,3 0-371,1 0 1028,3 0-18,-1 0-52,13 0 1,-3 0-94,7 0 1,-2 0 137,-2 0 0,2-5-197,-2-2 0,0-2-50,1-1 1,-1-2 589,2-2 0,-2 2-60,1-6 0,3 1 85,0-4 0,-1 1-282,-2-1 1,0-3-223,-1-1 0,0 1-32,2 3 1,-2 1 63,1-1 0,0 5-23,-1 2 0,-1 2 27,-1 2-70,2 4 65,-4-3 1,1 8 43,1-3 0,-4 7 29,4 0 1,-4 5 14,4-1 0,-5 2 45,4 2 1,1-1-89,3 1 1,-4 2 46,0 1 0,0 5-29,5-2 1,-2 3-9,1 0 0,0-2-29,-1-1 1,1 0-16,-1 4 1,1-1 9,0-3 0,-4 1-7,1-4 1,-3 3-20,3-3 1,2 0-7,-3-4 1,0-3 0,0 0 1,-3-1 54,4 1-39,-5-2 1,4-5 32,-3 0-47,-2 0 39,3 0 1,-4-5 5,0-2 0,0-3-42,0-4 1,0-2-2,0-5 1,0 0-107,0 0 0,0 0 112,0-4 0,0-1-140,0-5 0,-1 0 72,-2-1 0,2-2-124,-2-1 1,-2-7 124,2 0 1,-4-1-41,4 5 9,-5-7 54,7 7 0,-4-8-22,3 5 0,0 3 57,-1 0 0,2 1-50,1-1 1,0-3 72,0 3 1,0 1-57,0-1 0,0 2-19,0-3 1,0 0 34,0 5 0,0-4 0,0 3 1,0 0-17,0 4 1,0 0-3,0 0 0,0 3 135,0 1 1,0 4-117,0-2 1,0 4 59,0 0 1,0 5-45,0 2 1,0 1 13,0-1 1,0 3-8,0-3 0,0 6 0,0 1 1,0 0-4,0-3 1,0 3 0,0 0 1,0 3-7,0-3 1,0 4-14,0-4 0,0 4-22,0-4-55,0 4-14,0-6 76,0 3 1,0 0-41,0-1 65,4 4 1,-2-2-47,0 1 58,-1 3-26,-1-4 0,0 4 92,0-2-46,0 2-1,0-4-14,0 5-6,0-5 7,0 4-12,0-3 44,0-1-1,0 4 8,0-4-9,0 5 33,0 0-52,0-4-4,0 2-9,0-2 9,0 4 63,0 0-64,4 0 0,-1 0 3,3 0 1,-3 0 5,4 0 111,-5 0-122,7 0 1,-4 0 20,4 0 1,1 0-1,0 0 0,4-4-60,1 1 1,1-1 47,0 4 1,1-1-59,5-2 0,0 2 47,3-3 0,-2 0-1,3 0 0,3 1-8,4 3 0,-2-4 0,2 1 0,-3-1 26,3 4 1,1-3 6,1-1 1,-2 1-15,-1 3 1,2-1-3,-2-3 1,6 3-40,-2-2 0,3-2 35,-3 2 1,1-1-43,1 4 0,3-3 26,-2-1 0,2 0-5,-6 0 1,5 3-11,2-2 1,6 0-3,-2 0 0,3 2 55,-4-3 1,-1 0 5,0 0 1,5 0-66,2 0 1,2 3 29,-2-3 1,-1 3-57,5 1 0,-2-3 66,2-1 1,2 0-2,-3 0 0,3 3-17,1-2 0,3 2-5,0 1 1,-3-4-10,-3 1 0,2-1-35,4 4 0,7 0 79,-4 0 0,3 0-15,-6 0 0,5 0 1,-2 0 1,6 0-164,1 0 1,-1-1 135,-2-2 0,0 1 143,3-1 0,5-2-113,5 2 0,-4-4 40,-4 4 0,2-4-33,5 3 0,2 0-238,2 0 0,-2-1 251,-2-1 0,3-3 31,4 6 1,2-5-68,-3 1 1,4 1-16,-2-1 0,-1 0 33,-41 2 1,1 0-1,45-4-6,-45 5 1,0 1-1,45-6-77,-2 2 0,-3 1 69,3-1 0,-43 4 1,1 0 8,-2 0 1,1-1 0,-1 0-1,1 0-11,40 1 1,-1-4 11,1 4 0,2-2-72,-3 1 1,-1 3-155,-8-2 0,2 1 1,1-2 0,-3 3-273,0-3 1,-3-1 479,-3-2 0,-1-1 0,1-2 0,0 0 0,-1-5 0,0-3 0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05.84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68 126 9996,'5'-4'5,"1"1"1,0 2 22,2 1 1,0-3 45,1 0 0,-1 0-6,1 3 1,-1 0 123,0 0 0,0 1-98,-3 2 0,3 2 41,-2 3 0,-2 1-40,2-1 1,-4 4-4,0 2 0,-1 2-27,-1 1 1,-1 0-136,-1-1 1,0 1-18,-4 0 1,-2 0 80,-3 0 0,-1-4-65,4-2 0,-3-2 42,0 0 0,-2-5-26,2-1 1,2-2 44,-2-1 1,-1-7-1,0-5 1,1 0 18,3-2 1,0-3 5,3-2 0,-2-1 109,4 3 1,1 2-67,2 1 0,1-1-24,1 3 1,4-2 1,5 3 0,2-3-16,4 3 0,1-3-82,1 3 0,2 0-161,1 2 0,3 1 33,-3-1 1,2 1-174,1 0 0,1-1-1388,-1 1 1751,0-1 0,8-3 0,1-1 0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06.29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9 1 7725,'-5'0'2536,"2"0"-2057,3 0 0,0 1-144,0 1 1,3 4-89,3 5 0,1 6 0,-2 5 0,3 4 61,-3 2 0,3 4-101,0 5 1,0 3 94,-3-1 0,3 4-111,-3-1 0,-1-6-32,-1-8 1,1-5 111,-2-4-216,5-5-72,-2-5 0,3-10-257,0-8 0,1-4-169,-1-6 1,1-6 192,-1-3 0,0-6-136,1 0 0,-1-3-195,1 3 1,2-1-349,0 4 0,0-1 251,-2 2 678,3 1 0,8 11 0,6 2 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06.68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58 0 9985,'-5'0'617,"2"0"-610,3 0 72,-4 0 1,2 0-31,-3 0 0,2 1-6,-3 2 0,3 1 57,-2 5 0,2-1-45,-3 1 1,4 3 75,0 2 0,0-1-186,-1 1 1,2-4 36,-2 1 0,3 1-107,3 0 0,-1-1-16,4-3 1,-1 1 32,4-1 0,-1-1 95,0-1 16,1 2 0,-1-8 176,1 3 1,-4 1 64,1-1-122,-4 0 1,1-2 71,-3 1-185,0-1 0,-1 4-127,-1-2 0,-3-2-316,-3 1 0,-1 2 80,1-1 1,2 3-284,1-4 0,-1 4-45,-2-3 1,2 1-188,0-2 869,4-1 0,-1 3 0,10-19 0,3-4 0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07.39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 1 8208,'0'5'2458,"0"1"-2175,0 0 0,0 4-126,0 0 0,0 2-147,-2-2 0,1 1 71,-1 3 0,1-4-90,1 3 1,0-3 61,0 0 1,1 2-60,1 0 1,-1-3-32,3-5 0,-2 3-205,3-4 1,-2 0 21,3-3 1,0-1-134,1-2 0,-2-5-25,1-1 1,1-5 131,-2 3 1,1-3-32,-2 0 1,1 0 172,-3 1 0,2-2 183,-2 5 1,0-1-95,-2 3 239,2 0 18,-1 3 56,1 3 0,-2 4-89,0 4 0,0 3-75,0 2 1,0 2-226,0-1 0,0 2 44,0-4 1,3 3-311,-1-2 1,2-1 25,0-1 0,0-4-95,-1 1 1,2-4-216,1 0 339,0-1 0,0-4 184,0-3 1,-2-1 0,0-2 0,-1-1 215,1-1 1,1-2-1,-3 3 0,2-2 617,-2 4-27,0-3 577,1 2-745,-3 0 0,3 9 229,-3 6 0,0 5-207,0 2 1,0 7-174,0 0 1,0 3 53,0 2 1,0-1-88,0 0 1,0 1-272,0-2 0,0 1-27,0 1 0,0-5-134,0 0 0,0-6 70,0-1-468,0-4 9,0 3 0,0-8-57,0-4 226,0-4 1,1-8 61,0-1 1,1-2-69,2-1 0,-2-4 7,2-1 1,-2-1-73,2 0 1,0-1 72,2 1 1,0-1 2,1-1 1,-2 3 341,1 2 0,1 3-95,1 0 1,-1 3 541,1 2 1,-1 3-129,-1 3 1,0 1 76,0 4 1,-3 4 131,-2 5 0,0-1 420,-1 6 1,0 0-414,0 1 1,-1 2-45,0-1 0,-2-1-318,-1-3 0,-1 1-265,1-5 0,1 2-854,-2-2 0,1 1 536,-2-6 1,1 0-1268,-2-3 1646,1 0 0,-19-26 0,-4-5 0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0.69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31 39 7680,'-5'0'4,"0"0"-2,-1 4-2,-1-3 0,2 4 707,2-3 0,4-1-260,5 2 1,3-2-133,10-1 0,5 0-164,6 0 0,4 3-1,3 0 1,11-1-31,2-2 0,4 1-98,3 2 1,2-2 20,2 2 1,1-5-177,-4-1 1,-1-3-90,-8 0 0,-3-4-161,-6-1 1,-4-1-417,-4 4 0,-4 2 55,-7 1 744,-5 3 0,-4 9 0,-4 7 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1.07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 10 7667,'0'-5'122,"0"1"707,3 4 0,2 5-517,3 4 0,2 5-137,1 8 1,-1 1 1,4 4 1,-4 5 8,2 5 0,0 3 98,-1 6 1,-1-4-86,-4 1 0,0-6 148,-3 0 1,3-3-9,-3-6 1,2-7-106,-2-9 0,1-6-141,-2-3 0,0-3-164,4-3 1,0-5-355,2-7 0,1 0 256,0-10 1,0-3-173,2-6 0,0-1 107,3-6 0,-3 5-618,3-5 1,-1 5-93,1-1 944,2 4 0,4 6 0,6 5 0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1.44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101 0 7667,'-8'0'1452,"-1"4"-1513,1-3 64,0 3 0,2-4-78,0 0 0,4 2 76,-4 1 1,3 0 184,-2-3 0,2 4-35,-3 1 182,1 3 1,-3 0-54,2 1 0,3 0-75,3 2 1,-3-2-166,0 3 1,0-3-61,3-1 1,4 1 142,2-1-199,1 4 0,2-2-169,-1 1 1,0-3-17,1-2-57,-1 1 212,1-2 1,-2 1 167,-1-1 0,-3-2-97,-3 3 1,0-4-27,0 4 0,-3-3 10,-3 2 1,-1-3-150,-2 1 0,1 1-251,-1-1 1,1-1 127,0-2 1,0 1-710,2 2 422,-1-2 610,6 3 0,-3-8 0,23-16 0,4-7 0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2.12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 5 9408,'0'8'493,"0"0"0,0 2-447,0 1 1,0-1 53,0 4 0,0 0 68,0 3 0,0-3-150,0 0 1,1-1-53,1 1 1,3-2-166,-2-3 0,1-5 163,0-1 0,-1-2-40,4-1 1,-2-1-582,1-2 0,1-2 308,-2-7 1,4-1 59,-5-3 1,2 0 80,-2 2 0,-2-2 72,0 2 1,0 2 76,0 0 1,0 3 303,-2 1-32,0 3 361,0 1-399,0 12 1,0-3 6,0 7 1,-2 0-196,0-1 1,1 1-39,1-1 1,0-1-186,0 1 0,0-2 116,2 0 1,-1-4-81,3 1 0,-2-4-220,2 0 0,-2-1 138,2-1 1,-1-4 281,0-5 0,2 0 0,-3-5 0,2 3 0,-2-3 0,1 0-31,0-3 1,0 4-74,-1 2 0,1 1 333,-2 2 0,0 2 330,1 1 1,-1 4-196,-1 1 1,0 5 151,0 6 1,0 2 264,0 4 1,0 3-319,0 2 1,-2 4-48,0 2 0,0-2-117,2 2 0,0 1-226,0-1 0,-2 2-22,0-5 0,0 1-120,2-6 1,0-2 187,0-4-164,0 2 1,1-10-485,1-1-46,-2-3 0,3-8 52,-3-3 0,0-5 165,0 0 0,0-4 267,0-2 0,0-3 24,0 0 0,2 2 114,0-2 1,2 4-46,0-4 1,-1 2-10,1-2 1,1 3 37,2 3 1,0 0-42,3 1 0,-1 0 159,3 2 0,-3 2-105,-2 7 0,-1 1 275,1 4 1,-3 1 149,0 2 1,-1 2 325,-3 7 0,0-2-309,0 4 1,-1 0 8,-1 3 0,1-3-463,-3 0 0,1-4-344,-4 1 1,2-1-983,-1-2 1045,0 0 0,-1 0-3239,-1-3 3488,0-1 0,-10-19 0,-3-3 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3.93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47 35 7715,'-7'4'-321,"-2"4"0,3-6 255,0 3 522,0-3 1,4 2 35,-4-4-66,5 0-49,-2 0 1,9-3-127,1 0 0,3 0-66,-3 3 0,3 0 87,1 0 1,3 0-128,-1 0 0,1 0-20,1 0 1,4 0 54,-2 0 0,5 0 1,-2 0 1,6 0-163,2 0 0,5 0 23,1 0 1,2 0-155,0 0 0,3 0 49,2 0 1,3 0-44,3 0 0,-2 0 71,-4 0 0,-2 0 50,-1 0 0,3 0 10,-5 0 0,-3-2 7,-5-1 1,-3-3 108,1 3 0,-1 0-99,-1 0 1,-3 1 72,-5-4 0,-1 5-48,0-2 0,1-1 84,-1 1 1,-3 0-122,-1 3 1,0 0-7,0 0 1,-1-1 45,0-1 1,-1 1-8,1-2 0,-1 2 62,-1 1-86,0 0 0,-1 0-88,0 0 1,-1 0 87,-1 0 0,-2 0-66,2 0 82,-4 0-34,6 0 0,-5 0 47,4 0-24,-5 0 1,3 1 134,-1 2-100,-2-2 69,5 2-42,-6-3-155,8 0 0,-7 1 49,2 2-216,-2-2-26,2 3-443,-3-4 116,4 0-95,0 0 415,-3 0 0,2 0-111,0 0 245,-2 4-98,3-4-656,-4 4-18,2-4 165,0 0 722,1 0 0,-10-7 0,-2-3 0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4.68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209 13 7698,'-9'0'1156,"1"-3"-715,-1 2-129,1-4 83,0 2-225,-1 2 0,1 1 28,-1 5 1,1 7 23,0 5 1,0 3 99,0 7 0,-2 11-71,-1 7 0,-2 18 18,-4 9 0,2 19-370,7-42 1,2 1 0,-1 4 0,1-1 203,2 5 0,0-1 0,1 0 0,1-1-122,1 0 0,0 0 0,0-5 0,2-2-32,5 36 1,7-9-706,10-8 0,7-15 148,4-13 608,8-13 0,-3-6 0,7-3 0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5.18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118 9 7654,'6'-2'501,"-1"0"150,-3 2 0,3-4-267,-2 4 0,-1 0-84,3 0 1,0 1-66,1 2 0,4 5 70,-2 6 0,2 5 101,-1 6 1,2 4-84,0 10 1,-2 4 197,-4 9 1,-3 7-95,1 7 1,-4 4 19,-5 1 0,-1 2-425,-10-1 1,2 7 121,-4-3 0,-2-2-104,1-12 0,1-4-200,2-7 1,0-7-1396,0-5 1,4-10 201,2-11 1353,2-7 0,-3-15 0,-1-9 0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15.64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0 50 7646,'8'-8'1013,"1"1"-348,-1 1 0,1-1-209,-1 5 1,0-4-3,1 3 0,0-2-363,2 2 0,-1 0 55,1 3 0,1 0-78,-1 0 0,0 1 87,-6 2 0,2 1 123,-5 5 1,1 2-79,-3 0 0,0 5-4,0 1 1,-3 0-24,-3 2 0,-4 2 3,-2-2 0,0 4 40,1-4 1,2 3 2,-2-5 1,-2 1 95,2-4 0,3-2 83,2 0 657,1-3-329,0-1-43,1-3 1,8-1-183,2-4 1,1 0-30,1 0 0,4 0-79,-1 0 0,4-1 63,-1-2 0,2 2-252,0-2 0,0-1-145,-2-2 0,2 1-904,-2 0 0,-2 2 544,0-3 0,-2 2-4330,1-2 4631,-2-1 0,0 2 0,-6-3 0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20.84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28 34 7856,'-9'0'-1465,"0"0"1243,4 4 1383,0-4-879,5 4 1,5-4-84,5 0 0,3 0-128,7 0 0,2 0-31,-1 0 0,9-4-167,-5-1 1,5 0-236,-4 0 0,-3 0 62,2-1 0,-3 0 300,0 3 0,-10 0 0,-4 3 0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21.073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60 8 7856,'-6'-1'0,"0"-2"0,4 3 100,-4-3 1,3 6 165,-2 2 0,2 4-35,-3 2 0,3 2-10,-2 4 0,3 3-169,-1 3 0,-1 1 94,2 1 1,-1 1 50,3 2 0,0-5-90,0 3 1,3-4-182,-1 0 74,5-1 0,5-8 0,6-1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2:48.123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60 152 7826,'-6'0'-388,"0"0"-177,4 4 343,-1-4-45,-1 4 142,3-4 163,-3 0 59,4 0 0,0-1-58,0-2 130,0 3 18,0-8 243,0 3-303,4-3 1,-2 0 349,4-1-305,-5 1 0,4-1 98,-2 1 1,-2 0 197,2-1-280,1 1 1,-3-1 93,2 1 0,-1 0-92,1-1 0,-2 4 196,1-1-81,-1 4-11,-1-5-246,0 6 0,0-2 110,0 6 1,0 1-12,0 5 0,0 0-73,0 2 0,-1 3-119,-1 6 0,0-1 74,-4 3 0,3-1 20,-2 2 0,2 1-117,-3-1 0,4 1 86,-4 1 0,4-1-102,-1-1 1,0-3 69,0-3 0,-1 0-72,1 0 1,2-4 87,-2-2 1,3-2-44,0 0 0,0-1 50,0 0 5,0 1-13,-4-1 0,3 1 2,-2-1 0,2-2-6,1-1 1,0-2 10,0 3-73,-4-5 50,3 3-7,-2-4 14,3 0-2,0 0 10,0-4 1,0 3 2,0-5-5,0 0 1,0-2 81,0 0 0,3-1-70,-1 1 0,1-1 43,-3 1 1,1-1-44,2-3 1,-2 3-2,2-2 1,-2-2-8,2-1 0,-1-2-7,4-1 1,-2 0-10,2 1 0,1-5-9,-1-1 0,2-3-20,0 0 1,0 3 33,1-1 1,0 5-30,2-2 0,-1 0 33,1 0 1,-2 4 2,0 5 1,-1 2 0,0 0 1,1 1 4,-1-1 1,-2 4-1,-1-1 1,1 4 2,2 0 1,1 1 17,-1 1 0,1 0-20,-1 0 0,0 0 64,1 0 1,-1 0 37,1 0-47,-1 0 1,0 0 10,1 0 0,-2 1 7,-1 1 1,0 0 44,-3 4-60,4-4 0,-5 5-7,3-1 0,-3-2-6,1 2 0,-2 0-33,-1 2 1,0 0 29,0 1 1,0-1-41,0 1 0,0-1 16,0 0 1,0 1-2,0-1 0,-4 1 10,-2-1 1,2 0-1,-2 1 0,1-2-63,-4-1 0,1 1 21,-1-1 1,1 0-8,0 0 1,-1 2-13,1-3 1,-2-1-12,-1-1 0,2 0-145,-2 0 1,0 0 93,0-3 0,2 0-90,-2 0 0,-1-1 113,0-2 1,1-1 91,3-5 1,-1 4-96,1-1 0,0 0 152,3-2 0,-2 2 57,5 1 40,-5-1 1,6 1-87,-2-1 49,2 4-80,1-2 31,0 4 37,0 0-41,4 0 0,0 4 98,1 2 0,2 1-81,-4 2 1,3 3 122,0 2 1,0-1-102,0 1 1,1 1 27,-1 4 1,2-1-39,0 2 1,0-3 5,1 0 0,-1 0-106,1 0 0,-1-1 7,0-2 0,-2 1-76,0-4 0,-2 0 79,2-3 1,0-2-108,-3 0 0,1-5 49,-1 2-269,-2 2 187,2-4-264,1 3-977,-3-4-353,3 0-759,-4-4 2466,3 3 0,-2-10 0,3 1 0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33.76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43 8 7826,'-9'0'0,"4"0"343,-1 0 167,1 0 0,-1 0 418,0 0-267,4 0-1224,-1 4 285,3-3 0,1 3-182,1-4 0,0 0 200,4 0 260,0 0 0,9-8 0,3-1 0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34.74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75 118 7826,'-10'0'-1382,"5"0"3049,1 0-1241,4 0 0,1 0-337,2 0 0,2 0-78,5 0 1,2 0-105,-1 0 1,2 0 125,0 0 1,-2 0-1,0 0 0,3 0 107,-2 0 1,1 0-92,-4 0 0,0 0 14,1 0 0,-2 0 35,2 0 0,-5 3 121,2-1-35,-1 5-81,3-2 1,-4 3-99,-2 0 0,-2 1 62,-1-1 1,0 1-19,0-1 1,0 0 9,0 1 1,0 2-19,0 0 1,-3 0 18,1-2 0,-5-1 1,4 1 0,-4-1-35,1 0 1,0 1-7,0-1 1,3 1-27,-3-1 0,1-1-10,-5-1 0,4 2-23,0-3 0,0 0 58,-4 0 0,1-2-8,-1 3 1,2-3-41,-1 2 1,-1-3-7,1 1 1,0-2 26,0-1 1,0 0-11,0 0 11,0 0 1,-1-4 4,1-2 1,0 2-25,4-2 0,-4 1-65,3-4 0,0-2 13,2 0 1,1-3 55,0 3 0,-1-2 19,0 2 1,2 2 20,2-2 0,0-1 1,0 0 0,0 1 1,0 3 1,2-1 107,2 1 0,3 0 15,-1-1 0,3 0-100,-1-2 1,2 1 75,3-1 1,-2 2-23,5 0 1,-1-2 3,3 0 1,1 0-5,-2 2 0,2 1 81,0 0 1,0-1-54,-1 1 0,-3 2 15,1 1 0,-2 3 14,1-1 1,1-1-36,-3 1 1,-1 1-54,-4 2 1,3 0 50,-3 0 0,-1 0-173,-2 0 0,-1 0-325,2 0-355,0 0-200,4 0-825,-1-4 1097,-1 3 664,2-3 0,-9 4 0,-2 0 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36.05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107 58 7826,'-5'0'1472,"0"-3"-968,2 0 0,1-3 46,-3 5-2,4-2 223,-4 3-583,4 0 1,-1 5-1,2 4 1,-1 8-80,-1-2 0,1 7 109,-3 0 0,0 5-108,1 3 1,-4 2 57,1 0 1,1 3-196,-4 0 1,3-1 30,0-4 0,0-3 98,3-5 0,-2-2-117,3-4 0,-2-3-397,2-3 32,0-4 326,2-2 0,0-5-88,0-2 0,1 1 69,1-4 0,-1-1 31,1-4 1,0-3-39,0 0 0,3-4-100,-2-1 1,2-4 75,-1 2 1,2-5-13,-3-1 1,3-1-125,0 4 1,1-4 40,2-2 1,2-1 75,-1 1 1,0 0-27,2 3 1,0 3 180,-2 6 0,3 1-89,-4 4 1,4 5 173,-6 5 0,3 2-6,-2 1 1,0 1 19,-2 2 1,-1 1-59,0 4 1,-1 1 133,-2 2 1,2-2-105,-2 5 0,0-2-14,-2 1 1,2-2 48,0 2 1,0 0-61,-2 0 0,0 2-183,0-4 1,-2 0 21,0 0 1,-1 0-77,2 2 1,-2-3-2,-1 0 1,-1-2 75,0-2 1,-2 3-142,-1-4 1,0 3 33,2-5 1,1 0-76,-2-3 1,-1 0 5,0 0 1,1 0-5,0 0 1,2-4 150,-2-1 0,1-5 72,1-1 0,1 0 313,2 4 0,-1 1-59,2 0 209,-1 5-268,2-3 1,0 5 253,0 2 0,0 5-35,3 5 0,-1 3-66,2 0 0,1 0-87,-1 0 0,1 4-317,2-2 0,0 1-466,1-2 0,0-1 324,-2 0 0,0-4-255,1 0 0,0-2 171,1-2 1,0 2-611,-2-8 0,0 1 7,0-3 926,0 0 0,-2-22 0,-2-5 0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36.48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59 17 7777,'-6'1'484,"1"2"0,3-1 164,-1 3 0,-1-2-208,2 3 1,-1-1-146,3 4 1,-3 3-75,0 2 1,0 2-1,3 0 1,0 2-82,0 2 0,0 0-109,-3 3 0,2-3-37,-2-3 0,1 2 136,-1-3 1,2 5-179,-1-7 0,1 0-94,1-6-107,-4 1 92,3-1-51,-3-3 1,4-2 126,0-6 1,0-2-83,0-3 1,0-4-36,0-2 1,1-2 21,2-1 1,-2-3 40,2 1 1,1-4 27,2 4 0,-1-4 2,0 4 0,0-4 44,1 4 0,1-1 88,-1 3 0,1 2-72,1 1 1,1 0 87,-1 5 0,1 0-7,-1 6 0,0 0 159,1 3 1,-1 1 69,1 2 0,-1 2-79,0 3 0,-3 0 63,-2 1 0,1 2 21,-2 0 0,1 0 21,-3-2 0,-1 2-132,-1 0 0,-2 1-23,-2 0 0,-1-3-31,1 2 0,-4-2-104,-1 0 1,-1-1-840,4 1 1,-3-4 130,0 1 707,-1-4 0,-11-10 0,-4-6 0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42.49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32 84 7760,'-7'0'661,"-2"0"0,5 0-524,-3 0-611,6 0 1002,-2 0-283,3-4 0,6 3 24,5-1 1,7 1-102,3 1 1,9-3-87,4 0 1,6 0 55,2 3 0,8 0-124,9 0 0,3 3-48,5 0 1,5 0-69,4-3 1,4 2 124,0 1 0,-2 0-147,-4-3 1,1 0-5,2 0 1,0 0 102,-3 0 1,-3 0-97,-5 0 0,-2-3-14,-1 0 1,-1-2-41,-4 2 0,-4-4-83,-8 2 0,-4 0 64,-5 0 0,0 0-45,-5-1 0,-5 0 52,-6 3 1,-4-3-159,0 4 345,-2-5 0,-6 2 0,2-3 0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56.588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161 134 7803,'-9'-8'0,"1"0"0,-1 3 0,4-3 0,-1 3 0,3 1 409,-2 1 1,2-1 294,-3 2-320,5-1-296,-3 3 1,4 4-118,0 1 0,0 4 20,0 2 0,-3 2 128,0 4 0,0 3-108,3 3 1,-3 1 46,-3 1 1,1 1-48,0 2 0,-1 1 16,-2 2 0,-1-1 22,1-2 1,0-3-1,-1 0 1,4-2 3,-1-6 0,1-2 139,0-6 7,1-5-122,4 0 0,0-5-2,0-2 1,0-1-85,0-5 0,0 0 82,0-2 1,1-2-184,2-4 0,-1-4-12,3-1 0,1-2-37,2-2 0,1 1 90,-1 0 1,3-4-77,0-2 1,4-1 122,-1-2 1,2 1-30,1 3 0,0-1 57,0 6 0,1-1-42,-1 10 1,1 1 43,-7 6 1,3 5 4,-3 1 0,-2 3 5,-4 3 1,-2 1 28,3 5 1,-5 0 0,2 2 1,-2-1 70,-1 4 0,-1-2-63,-2 2 0,0-1-38,-3 1 0,-1 2 17,1-2 1,-1-1-27,-2 1 0,1-1-17,-1 1 0,1 1-112,0-4 0,2 0 65,0-3 1,1-2-142,-4 0 0,1-2 103,0 2 0,2-2-82,0-4 1,2-1 75,-2-2 0,0 0 57,3-5 1,-3 1 89,3-4 0,1 2-67,2 0 0,-1 1 191,-2-1-202,2 1 55,-3 3 465,4 2 0,0 7-206,0 5 1,3 3-120,0 5 0,0 0-160,-3 3 0,1 1-167,1 5 0,-1-2 100,2-2 0,1 2-125,-1-5 0,3 1-77,0-3 0,-2-2-280,2-1 0,-1 1-145,0-3 1,3-1 232,-3-3 1,0-2 146,1-1 1,-1-3 308,4 1 0,-1-6 0,0-1 0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3:57.02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93 34 7803,'-6'3'191,"1"0"0,-1 3 237,-2 0 1,2 1-286,1 2 0,-1 3-64,-2 2 0,2 3 69,0 2 0,4 0 16,-4 3 0,4-2 27,-1 2 0,0-3-234,0 1 0,0-3 99,3 0 0,-3-3-85,0 0 271,1-4-298,2 3-39,0-9 162,0 0-95,0-12 1,0 2 27,0-8 0,0 0-74,0-3 1,2-1 55,1-1 0,4-2-110,-2-1 1,3-2 69,0 1 1,1 2-22,-1-2 0,0 5 33,1-2 1,-1 2-24,1 2 1,-1 2-12,0 3 0,4 3 6,-1 2 0,0 3 199,-3 3 1,0 1-97,-3 5 0,2 0 211,-4 5 0,2 1-68,-2-1 0,0 3 164,-3-3 0,-4 3-95,-1-2 0,0 2-75,-1-3 1,1 0-131,-4-3 0,-2 0-234,0-3 1,0 3-615,2-3 0,1-1 136,0-1 676,-1-2 0,-10-12 0,-4-3 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03.63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217 42 7457,'-1'-7'110,"-2"1"160,2 2-123,-3 1 1,4 1 280,0-4 10,-3 4-199,2-5 1,-4 6 117,2-2 0,1 2 409,-3 1-487,-1 0 1,-3 5-16,-2 3 0,0 6-39,-3 9 0,0 1-45,-2 10 0,-1 2-23,0 9 0,0 1 0,0 5 0,4-1-170,2 1 0,3-3-377,2-3 1,4-5-603,8-9 0,4-6 476,10-5 1,4-5-1223,4-3 1738,4-1 0,31-21 0,13-1 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07.1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102 46 7875,'-6'-5'34,"1"2"1,2-1 205,-3 1-72,4-4 0,-2 4 409,1-2-260,2 3 10,-3-2-276,4-1 179,0 5 0,-3 6-82,1 6 1,-1 6-36,3-3 0,-4 6 34,-2 3 0,2 2 21,-2 2 1,3-1-149,-2 0 0,0 3 76,-1 0 0,0 0-88,3-3 1,-2-2 60,2 0 0,0-3-231,3-4-69,0-4 188,0-1 152,0-8 0,0-2-86,0-6 0,0 1 141,0-3 0,0-5-108,0-2 0,0-1 0,0 1 0,0-1-11,0-6 1,3-2-81,0 0 0,2-1 40,-2 0 0,3 3-142,0-6 1,-1 5 94,0-5 1,1 6-112,2-3 0,4 1 10,-1-1 1,0 1 50,-3 3 0,4 3 48,-1 0 0,0 5 2,-3 1 0,1 0-41,-1 7 88,1-1 0,-2 4 20,-1 2 1,0 2 82,-3 4 1,1 0-78,-2-1 0,-1 2 28,2-1 1,-2 2-44,-1 0 0,0-1-15,0 2 0,0 1 17,0 0 1,0-2-32,0-2 1,0 1 20,0-2 1,0 4-9,0 0 1,-3 1 3,1-4 0,-4-1 6,3 2 1,-3-3-15,0 0 0,1 0 10,0 0 1,-1-2-117,-2 0 0,0-1 105,3 2 0,-3-5-262,3 2 147,-3-1 0,0-2 21,-1 0 0,1 0 30,0 0 0,2-4-94,0 2 157,1-5 28,-4 1 70,1-2 1,2 1-137,1 2 187,3 3 0,-2-4 87,4 3-67,-4 2-59,3-2 15,-2 3-8,3 0 9,0 0-5,0-5-22,0 4-22,0-3 34,0 4 477,0 0-543,3 0 232,-2 4-228,3-3 0,-4 5 279,0-4-262,4-1 0,-2 8 55,3-4 1,-2 3-17,3-2 1,-3 3 4,2-1 0,-2 2-49,3 2 1,-1-2-4,4 2 1,-4-1-14,1 1 0,-2 1-109,2-1 0,1 1-4,-1-5 1,-1 1 56,0 0 1,-3 0-173,1 1 16,2-2 0,-3 0-153,3-2 0,-3 0-15,1-4 0,-1-1-218,0 2 1,-1-1-210,2 1 1,-1-1-234,1 1-69,-2-2 320,6-1 750,-6-4 0,7-18 0,-4-7 0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09.413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13 1 7875,'-3'0'10,"1"0"1,0 0 10,-1 0 680,2 0-308,0 0-487,1 0 1,1 0 37,2 0 1,2 0-132,1 0 0,1 0-166,0 0 1,1 0 149,1 0 1,-2 0-145,1 0 1,-1 0 89,-1 0 1,-1 0 256,1 0 0,-1 0 0,1 0 0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09.67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59 1 7875,'-8'0'-154,"-1"0"266,1 0 1,1 1 230,1 2 1,2-2-291,4 5 1,0-3-207,0 2 0,0 1 44,0 2 0,0 1 86,0-1 1,-3 3-72,1 1 0,-1 0 66,3-1 0,0-2-178,0 2 1,-1-1-82,-2-2 0,2 1-89,-2-1 0,2 0 107,1 1 269,0-5 0,8-11 0,1-7 0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10.346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118 10 7875,'-9'0'1225,"1"0"0,2 0-1040,1 0 1,3 4-223,-1 2 1,2 3 17,1 3 0,0 2 19,0 4 1,-3 4 91,1-1 0,-5 6-116,2 0 0,0 0 34,-1 3 1,1-2-25,-4-1 0,1 1 72,-1-1 0,4-4-3,-1-2 0,3-2-210,-2-4 96,3-2-74,-2-9 113,4 0 0,1-8-132,2-1 1,-1-7 18,3-3 0,0-3 60,1 0 1,3-4-91,-3 2 0,4-3 110,-2 3 1,1-3-69,2-1 0,-2-2 66,0 6 1,2-5 5,0 4 0,1-3 16,-1 3 1,0-3 88,3 7 1,-3 1 84,3 6 0,-4 2-44,1 2 1,-1-1 99,-2 4 0,-2 0-91,-1 3 0,-2 4 27,3 2 0,-4 2-12,0 1 0,-1 1-3,-1-2 0,0 1-19,0 1 0,-1 2 9,-1 0 1,0 0-237,-4 1 0,3-3 60,-2 2 0,0 1-108,-1-1 1,-1 1 50,1-4 1,-1-2-78,-2 0 1,2 0 30,1 0 1,-1-3 7,1-1 1,-1 0-98,-2 1 174,1-1 0,0-7 18,-1-2 1,4-2 128,-1-1 0,3-1-18,-2 2 1,3-1 195,-1-1 1,2 5 378,1-2-147,0 5-158,0-2 0,1 5-124,2 2 0,-1 7 14,3 4 1,-2 1-213,3 3 0,-1-1-81,4 4 0,-1 1-446,0-1 1,1 3 281,-1-2 0,-2-1-473,-1-3 1,1-1 273,2-2 0,1-2-208,-1-3 1,-2-5 660,-1 2 0,1-5 0,-1-18 0,-2-9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10.85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34 9 7082,'-5'0'2660,"2"0"-2358,3 0-207,0 0 1,0 4 110,0 2 1,0 2 5,0 3 0,0 0-60,0 3 0,-1 0 35,-2 2 1,2 2-225,-2 2 0,-1-2 66,2 5 0,-2-5-26,1 2 0,2-2 59,-2-1 1,2-4-246,1-2 0,0-2-53,0 0-165,0-5 285,0 0 0,0-5 56,0-2 0,0-4-66,0-4 1,1-4 19,2 1 1,-1-5-26,4-1 0,-4 0 75,4 0 0,-1 2-26,0-1 1,3 1 33,-3 1 0,0 1 3,1-1 0,-1 3 20,4 0 1,-4 4 118,1 2 1,-1 1-33,4 4 0,-1 0 393,1 3-130,-1 0-82,0 0 0,0 4-10,-2 1 0,-2 2-124,-1-2 1,-2 3 17,2-3 1,-2 3-21,-1 0 0,-3 1-26,0-1 0,-3 1-371,0-1 0,1 0 146,0 1 0,-1-2-381,-2-1 0,-1 0 221,1-3 1,-1 3-530,1-3 0,0-1-3,-1-2 836,5 0 0,-4-26 0,3-6 0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11.163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135 1 9597,'5'4'812,"1"0"-480,-3 5 0,3 3 48,0 2 1,-2 6-27,-1 2 0,-3 5 66,0 1 0,0 1-114,0-1 0,-3-1 51,-3 4 1,-2-1-187,-3 0 1,0-2-1,-3-5 1,1 0-482,-1-3 1,-1-1-266,4-2 0,0-4-1834,2-2 2409,1-5 0,-8-13 0,-2-7 0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25.07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471 42 7883,'-5'-3'0,"-2"-1"-1198,1-2 516,-2-1 2130,-1 2-452,1-3-313,-1 3-446,1 1 1,0 8-26,-1 2 0,0 9 56,0 4 1,0 9-105,-2 6 1,-2 11 73,-5 11 1,-3 15 27,-2 13 1,9-35-1,0 2-383,-1 6 0,-2 1 1,0 4-1,0 2 201,-1 2 0,1 0 1,0-2-1,-1-1-46,3-2 1,2-1 0,-2-3 0,2 1-72,1-2 1,1 0-1,1-2 1,0-1-381,4-2 1,1-1 0,-1 43-150,9-15 0,10-6 126,10-13 436,9-2 0,8-18 0,6 0 0,1-3 0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25.70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17 25 7878,'-3'-4'-590,"2"-4"802,-7 4 495,7-1 0,1 2-452,6 3 1,2 4-127,3 4 1,2 5 45,4 5 0,0 7 129,0 5 0,-1 3 130,0 5 0,3 8-96,-2 10 1,-2 6-8,-7 5 0,-3 5-290,-2 3 1,-6 5 13,-3-4 1,-5 1-54,-3-10 1,-2 2 144,-1-4 1,-2 2-615,0-11 0,0 0 251,2-14 1,4-3-671,2-6 1,-1-6-165,4-8 1050,1-4 0,7-10 0,0-2 0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26.178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59 42 7890,'-8'-5'0,"-1"-2"-160,1 1 0,2 1-808,1 0 1467,3 3 1763,-2-6-1978,8 7 1,1-1-135,7 4 0,-2 0-188,4 4 1,-3-1 88,3 4 1,-4-1 51,1 1 0,2-1-46,-2 0 1,0 1-7,-3-1 0,0 2-83,-3 1 0,2-2 102,-4 2 0,0 0-32,-3 0 0,-1-2 30,-2 2 1,-2 1 5,-3 0 0,-4 2 31,-2-3 0,-2 3 3,-1-3 1,0 0 14,0-2 1,3-1 110,0 0 1,4-3 340,-1-2 79,2 2-182,4-5-267,1 4 1,9-4-200,3 0 0,4-3-199,5 1 1,4-2-373,1 1 0,6 2 129,3-2 1,2 2-917,0 1 1352,5 0 0,41 8 0,14 1 0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29.00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26 35 7926,'-6'0'0,"1"0"0,-1 0 527,3 0-266,-3 0 0,6 0 103,0 0 0,5 0-224,2 0 0,4 0-161,1 0 0,2 0 12,4 0 1,-1-3-480,0 1 441,0-5 50,1 6 0,1-6-262,0 4 0,0-1-241,-4 1 1,2 2 499,-4-1 0,-5 1 0,-3 1 0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29.17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76 1 7926,'-9'1'-437,"1"2"0,2-2 49,1 5 1,0 0 1013,0 2 0,-2 7-277,4 2 1,-2 5-118,2 1 0,-3 5-209,3 2 0,-2 3-2,2 1 0,0-4-187,3 1 1,0-5 165,0 0 0,4-5 0,1-4 0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41.354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34 127 7958,'-8'-4'762,"-1"2"-834,1-4 1,3 4-1142,2-4 1175,2 4 0,2-4 641,2 3 0,3-3-379,5 3 1,0 0-191,6 0 1,-2 1 137,4-4 0,2 5-75,-2-2 1,4 1-73,-4-1 1,4 2-9,-4-2 1,1 3-56,-3 3 0,-1 1 79,-2 1 1,-2 3-17,-4-2 1,-2 4 37,-1 1 0,-3 0 18,1-2 1,-3 2 37,-3 0 0,-1 0-63,-5-2 1,0 2 45,-2 0 1,0 0-22,-3-2 1,1-1-130,-1 0 0,-1 0 38,1-3 1,-2 2-19,-1-4 0,3 2-9,0-2 0,3 0-12,-3-3 1,3-1-59,-3-2 0,3-1 55,0-5 1,2 0 14,0-2 1,2 0 26,1-3 0,2 3 1,1-3 0,2 4 44,-2-1 1,3-1 15,3 0 0,-1 2-2,3 5 1,4-3 121,2 2 0,4-1-82,-1-1 1,3-1 99,2 1 0,2 0-118,1 3 0,2-3-30,-1 3 0,1-3-3,1 0 1,0 2-103,-3 1 1,2 0-234,-1-1 1,-4 3-61,-2 3 0,-1 0-341,-5 0 0,0 0 698,-2 0 0,-27 11 0,-6 3 0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42.82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91 81 7979,'0'-4'-746,"0"-3"0,0 5 779,0-3 351,0 3 0,0-3-36,0 2-109,0 2-130,0-2 1,0 4 93,0 1 0,0 4 18,0 5 1,0-2-89,0 5 0,-1 2 94,-1 4 1,-1 2-98,-1 0 0,-2 1-25,2 2 0,-2-1-25,0 0 0,-1 3-14,0 0 1,0-1 28,1-3 1,2-4-14,0-3 1,0 1-94,0-1 0,-1-3 90,2-3 1,1-3-76,2-2 1,-1-2 96,-2 3-13,1-5-56,2 3 0,0-5-4,0-2 0,0 2-26,0-5 0,0 3-120,0-2 0,0-1 11,0-1 0,0-3 111,0-1 1,1 2-201,1-5 0,0 1 11,1-4 0,2 0 51,1-2 1,1 1 64,-1-3 0,3-1 11,-1 1 0,2-3 19,-1 3 0,-2-2 106,4 1 0,0 0 15,2 3 0,-2 0-107,0 3 0,-1 0 53,4 3 1,-2-2-7,1 5 1,-1-1-2,-1 2 1,1 4-12,-4 0 0,4 1-6,-2-2 0,0 2 20,-1 4 0,-2 0 3,-1 0 0,1 0 155,-1 0-167,0 4 0,0 1 56,-1 2 0,0 1 69,-3 1-63,0-1 1,-2 0-22,0 0 1,0 3-2,0-1 1,0 2-33,0-4 1,-1-1-13,-1 2 0,1-1-68,-4 1 1,3-2 84,-2 1 0,-1 1-78,-1-1 0,0 2 49,-1 2 0,0-2-5,-1-2 0,0-2-10,-1-1 0,0 1 1,1 1 0,-2-1-44,2 0 0,0-5-7,-3 2 0,1-2 46,-1-1 1,1 0-5,1 0 1,3-3-138,-4 1 1,3-5 122,1 1 0,-1 0 41,1-2 1,1 2 23,2 0 0,1 1 1,-1 0 66,3 0 316,0 3-253,0-2 0,0 5-59,0 2 0,0 1 172,0 4 1,2 1 27,1 2 0,0 1 45,0 5 1,2-1-115,-1 1 1,1-1-17,-1 0 1,2 0-73,-2 1 1,2-1-80,1 0 1,-1-1-153,-2-2 1,2 2 53,-2-3 1,1-2-341,0-2 1,0 1-118,0-2 0,-2 0-324,1-1 1,-1 2-590,1-3-450,0 2 1856,2 1 0,-5-7 0,-2-2 0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46.13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47 34 7979,'-7'0'0,"-2"0"0,2 0-1431,-1 0 1737,-1 0 326,5 0 0,2 0-329,4 0 0,4 0-51,4 0 0,5 0 54,4 0 0,6 0-114,-3 0 1,9 3-54,0 0 0,6 0-29,4-3 0,8 0-128,6 0 0,7 0-22,7 0 1,5-3-160,1 0 0,9-1 283,0 2 0,-2 0-23,-6-4 1,-2 4-126,-1 0 1,-1-2 112,-4 1 0,-6-1-62,-7 1 1,0 3-49,-5-3 1,-2 2-215,-5 1 1,-5 0-69,-6 0 0,-5 0-813,0 0 1156,-2 0 0,0 0 0,-1 0 0,-1 0 0,-1 0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4:55.238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135 110 8005,'-4'-9'-1473,"3"1"2259,-6 0-197,6-1 60,-3 5-477,4 0 1,0 6-34,0 3 0,-1 2 3,-2 7 1,2 1 5,-5 4 1,3 3-25,-2 3 0,-1-3 11,-2 1 0,-1 2-148,1 3 0,-1 0 78,1-3 1,0 0-64,-1 1 1,4-5 42,-1-1 0,1-4-86,0-2 1,-2-1 81,4-5-4,1-3-19,2-2 0,0-4 19,0-1 1,0-4-91,0-5 1,0 1 65,0-4 0,3-1-5,3-5 0,1 1-27,2-3 0,-1 0-92,1-4 0,2 0 49,0-2 0,4 2-114,-1-2 1,5-2 96,0-1 1,4 3 31,0 0 0,0 5 56,0 4 0,0 3-8,-3 4 0,-1 2 15,-2 7 0,-4 1-21,-2 2 1,-2 4 15,0 5 0,-4 0 54,-3 5 0,-1-3 155,-1 3 0,0 0-67,0 3 1,0 0-58,0 0 1,-2-1-46,-1 1 0,-4-1-30,2-2 0,0 1-4,-1-4 1,1 3 6,-4-3 0,-2 1-18,0-4 0,0 0-33,2 1 1,0-4-137,-2 1 1,-1-4 88,-2 1 1,2-2-161,3-1 1,-2-1 173,0-2 0,-1 1-3,0-4 0,6-2 114,-3-3 1,3 0-155,-2 2 375,3 1-11,-3-1-120,7 5 0,-1 0-49,4 4 1,0 5 121,4 3 0,0 4 149,2 5 0,1 3-68,2-1 1,-1 2-268,1-2 1,1-1-42,-1 2 0,1-3-214,0 0 0,-3-1 200,2-2 1,1 1 88,0-4 0,-1 3-1196,-3-3 0,1 1 457,-1-4 0,3-1 677,0-1 0,-3-6 0,-4-5 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07.696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52 7 8136,'-17'0'-486,"4"3"-824,0-1 2350,8 1-765,1-3 0,8 2-62,1 0 1,8 0-156,2-2 1,0 0-197,3 0 1,2 0-28,1 0 1,2 0-147,-3 0 1,2 0 169,-2 0 1,-2-1-95,3-1 1,-5 2-15,-2-2 0,-4 1 249,2 1 0,-14-7 0,-3 0 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07.91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59 1 8136,'-6'0'-176,"1"0"-583,-1 4 0,-1 0 824,1 5 1,-1-1 296,5 0 1,-4 2-213,3 1 0,0-1-175,3 4 0,0-3-107,0 3 0,-2-1-216,-1 1 0,0 1 92,3-3 0,0-1 256,0-3 0,0 4 0,0-2 0,4-9 0,0-7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08.663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110 48 8026,'-3'-1'-315,"1"-2"370,1 2 0,0-5 97,-1 3 47,1 1 322,-1 2-345,2 0 1,0 3-71,0 2 1,0 3 92,0 0 0,0 2-60,0 2 0,-2 2 35,-1-1 0,-1 5-40,-1 1 0,-1 3-29,0-1 1,-1 0-123,-2-1 1,2 3 83,-2 0 0,2-2-141,0-2 0,2-3 37,0-3 1,1 2-169,1-5 76,-2-3 45,4 1-1,-1-7-41,2-1 1,2-5 50,0-2 1,3-3 48,-1-1 1,2-1-103,0-4 0,1-1 40,-1-2 0,3-1-11,-1-1 1,2-1 28,-1 3 0,-1-3-6,2 0 1,0 0 56,1 1 0,1-2-48,-4 4 1,3 2 149,-3 3 0,3-1-123,-2 6 1,0 1 288,-3 6-194,1-3 0,-1 4 127,0-2 0,-2 3 142,-2 3-218,2 2 1,-3 2-21,1 2 0,1-1-1,-1-1 1,0 2-27,-2-1 1,0 1-39,0-2 0,-1 1-13,-1 4 0,1-3-27,-4 1 1,3-2-11,-2 1 1,2-2 51,-2-1 0,-1 1-9,-1-2 0,1 1-95,1 0 0,0 1-105,-3-6 1,0 2-7,-1-3 0,1 0 150,-3 0 1,3 0-6,1 0 0,-1-1 23,1-2 217,-1-1-6,1-4 145,0 0 0,1 4 30,1 1-122,3 2 1,-2 5-248,3 1 0,2 5 121,0 0 0,3 5-222,0-2 0,0 3-121,1 0 1,2 0-308,0 0 0,0-2 79,3-1 1,-3-2-274,1 2 0,0-3 139,0 0 1,-1 0 590,-1-3 0,-1-2 0,0-3 0,1 2 0,-1-2 0,-2-9 0,-1-6 0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09.12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76 8 8785,'0'-5'1500,"-3"2"-1288,0 6 0,0 2-19,3 3 1,-3 4 37,1 2 0,-4 2-183,3 1 1,-3 3 121,0-1 0,1 2-263,0-2 1,2 0 43,-3 4 0,2-5 113,-2 2 1,0-2-122,3-2 0,0-3-163,3-1 0,0-3-171,0-1 263,0-3 81,0-1 0,0-5 36,0-2 1,0 0-19,0-5 1,0 1-22,0-4 0,3-2-92,0-1 0,3-2 66,0-1 1,1-2-118,2-1 0,-1 1 111,0 2 0,1 0-20,-1 0 0,1 1 140,-1 2 1,3-2-62,0 2 0,1 3 114,-4 3 0,0 0-54,1 6 1,-1-4 158,1 3 0,-1 0-50,0 3 1,-2 0 65,0 0 1,-4 3-48,4 0 0,-4 3-44,1 0 1,-1-1 38,0 0 1,-1 1-48,2 2 0,-2-2 286,-1 0-332,-4-1 0,1 4-3,-3-1 0,-1-1-68,1-1 0,-1 1-205,2-1 1,-3-1-44,3 0 0,-3-2-299,0 3 0,-1-3-14,1 2 1,0-3 151,-1 1 0,1 1-1065,-1-2 1478,1 1 0,-15-10 0,-4-3 0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1.52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360 9 8212,'-8'-4'0,"0"3"0,-1-2 0,-2 2-797,0 1 1,-1 1 796,0 2 0,2 6 623,-4 5 0,0 5-47,-3 5 1,0 11-129,-3 9 1,-1 11-168,-5 11 0,-2 9-400,0 12 0,14-41 0,0 2 153,1-1 0,1 2 0,3 0 0,0 0-103,2 1 0,0 0 0,3-1 0,2-2 191,-1 46 1,11-8-217,9-10 1,12-8-1617,13-5 1710,8-7 0,3-4 0,6-7 0,1 3 0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1.979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278 65 8039,'0'-7'0,"0"-1"-259,0-1 0,3 1 103,0 0 1,0 2 879,0 1 0,-1 1-219,4-2 0,-4 2-298,4 4 0,0 1 36,2 2 0,0 3 3,1 4 0,-1 7 38,1 5 0,2 6 6,0 4 1,-1 6 49,-4 6 0,0 1-100,-3 4 1,0 3-68,-3 3 0,-5 2-45,-3 3 1,-5 0-180,-7 0 1,-4 0 77,-4-5-1,-5 1-148,0 1 0,-4 2-702,-2-1 0,3-4 393,5-7 1,3-3-657,6-4 1,5-3 24,6-7 1062,5-10 0,-2-30 0,4-9 0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2.320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1 51 7980,'2'-8'0,"1"-1"0,4 2-166,-2 1 0,3 0-68,0 3 0,2-3 1126,1 3 1,-2 1-423,2 2 0,0 0-21,0 0 0,-2 2-130,2 1 1,-2 4-102,-4-2 0,2 3-14,-4 0 0,-1 2 3,-2 1 1,-1 1 90,-1 2 0,-3 2-128,-3-2 1,-1-1 36,1 1 0,-1-1 12,1 1 1,1-2 63,1-4 1,-1 1-240,5-1 1,-1-2-253,3-1 1,1-3-171,2 1 0,6-2-458,8-1 1,3 0 339,5 0 496,4 0 0,46-7 0,15-3 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8.205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8 188 7919,'-5'-6'0,"4"1"-152,0-1 0,3 1-314,2-1 1,5 4 727,9-1 1,4 1-136,5 0 0,5 1 79,3-2 0,4-2-113,3 0 0,5-3-32,2 0 0,1-4-42,0-2 0,0 1 60,-3-1 0,2 0-94,-4 0 1,-3 2-358,-5 4 1,-3 2-135,-2 1 1,-1 2 505,-4-3 0,-9 12 0,-12 0 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8.521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51 99 7928,'-9'3'0,"1"0"0,0 4 0,-1-1 0,2 5-414,1 1 1,2 8 383,4-2 0,0 9 657,0 1 1,1 5-246,2 1 1,-1-2-180,4 1 1,-2-5 218,2 1 1,1-3-117,-1-5 0,-1-6 11,0-5 1,1-2 57,2-5 1,1 0-138,3-3 0,-2-5-155,4-4 0,0-5-92,3-8 0,2-1-122,1-8 1,2-3-323,-2-5 1,3 0-1,0-3 0,-2 1 164,2-3 1,-6 7-497,0 4 0,-1 4 72,-5 2 0,3 2 713,-3 10 0,-7 25 0,-5 15 0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18.922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43 43 7928,'-1'8'0,"-2"0"0,2 4-220,-2-1 0,2 5-374,1 0 0,-3 4 1452,1 2 1,-1 4-355,3-1 0,0 0-176,0 3 1,-1-3-145,-2-2 0,2 0-131,-2-3 1,0-5 51,0-3 0,0-3 100,3-1-59,-4-3-227,3-1 0,-2-5 14,3-2 1,0-2 95,0-3 0,0-4-150,0-2 1,0-2-4,0-1 1,0-3 87,0-3 0,2 2 22,1-2 0,3-1-2,-3-1 0,2-1 25,-2 6 0,3-2-2,0 2 0,2-2 151,4 2 0,-2 1-81,4 5 1,-1 2 101,1 4 1,2 3-122,-2 2 0,1 3 170,-1 0 1,-3 4-37,-5 5 0,-3-1 75,-3 3 0,-1 1-99,-1 0 1,-3 2-89,-3 0 0,-5-1-768,-1-2 1,-1-2 687,1 0 0,-13-5 0,0 0 0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5.8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 42 7913,'-14'0'-542,"1"0"-563,5 6 1704,2-5 1,9 6-394,6-7 1,2-5-314,12 0 0,0-1-152,5 1 1,0-1-671,-1-3 929,-5 3 0,29 0 0,1-2 0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6.0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42 28 7907,'-14'14'-197,"0"0"-154,6 0 0,2-5 515,6 0 1,6-6 599,4 2 1,10-8-765,7-2 0,17-13 0,8-5 0,7-1 0,1 1 0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7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222 69 7592,'-4'-10'-452,"-1"1"575,0 7 240,5-11 0,-1 7-77,-4-3 1,4 2-5,-4 1 268,3 5-54,-4-4 1,0 11-182,-3 8 1,-4 8 97,4 9 1,-8 13-164,-1 14 0,-5 12-17,4 16 1,-1 4-408,10-41 0,1 2 1,2 1-1,1 2 137,-2 2 0,2 1 1,1-4-1,2-3-349,3 41 0,6-11-136,3-17 1,16-10-1419,8-13 1940,5-5 0,53-50 0,-39 2 0,0 0 0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7.8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112 14 7534,'0'-8'172,"0"2"326,0 6 96,6 0-451,2 6 1,6 7-64,0 5 1,-2 7 113,-3-2 1,2 5-67,-6 4 1,-1 4 173,-4 5 0,0 2-75,0 4 0,-1-3-115,-4 7 0,-3-7 13,-5-3 0,-1-7-89,0-11 1,0-3-6,0-6 1,0-6 87,0-3 0,0-11-244,0-8 1,2-6-54,3-8 0,-2-6 9,6-3 1,-1-3 56,2-2 0,2 0 32,-3 1 1,4 1-9,1 3 1,5 3 1,-1 6 0,8 0-209,2 0 1,2 7 73,7 2 0,2 4 134,7 1 0,-1 5-133,6-1 0,0 7 220,5-1 0,30 8 0,8 4 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8.2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7875,'0'14'1341,"0"-1"0,0 2-899,0 3 0,4-1-162,3 5 0,-2-3 76,2 9 1,0-5-134,3 9 0,-4 1 30,0-2 1,0 5-13,0-5 0,2 6-1,-4-6 1,0-1 116,-1-8-268,-2-3 1,5-11-42,-3-4 1,-1-2-257,5-2 1,-4-14-354,4-8 0,-1-5 302,4-9 1,-2 0 83,-1-5 1,3-1-738,0 1 1,0-3 911,3 8 0,6-8 0,2-5 0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8.6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153 43 7836,'-8'-8'-284,"2"0"430,6 3 1,-2 4 658,-2-4-755,2-2 0,-5 5 160,2-3-373,3 4 183,-10 1 1,4 0 163,-6 0 0,5 6-109,0 3 1,1 4-119,-1 1 1,-3-1 23,2 1 0,3 0 24,-3 0 1,7 0 3,-1 0 1,2 0-106,2 0 0,0 0 57,0-1 1,0-3 21,0-1 0,5 0-40,-1 5 0,7-5 66,-2 1 1,4-7 9,1 1 0,-5 3 77,0-3 81,0 1 0,1-1 106,-1 1 64,-6 0-317,3 1 1,-6-3 149,0 6-791,0-6 464,-6 10 0,-2-6-467,-6 7 0,2-5 104,3 1 0,-4-6 33,4 6 0,2-7 477,-3 1 0,7 4 0,-9-6 0,29-33 0,0-16 0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9.3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15 7812,'0'-8'1764,"0"2"-1255,6 6-334,-4 0 0,4 6 0,-6 3 1,0 5-137,0 5 1,0-2 111,0 6 1,0-6-145,0 1 1,0 2 47,0-1 0,0 4-188,0-5 0,4 1-69,1-5-79,6 0 0,-3-2 86,5-3 0,1-2-15,0-7 0,2-2-236,2-3 0,-2-2 160,2-7 0,-2-5-45,-3 1 1,3-7 118,2 2 0,-7 1 98,3-1 1,-5 5 31,1-6 0,0 8 282,-5-3-325,0 4-13,-5 1 237,0 6 1,0 3 39,0 10 1,0 7 106,0 7 0,0-1-23,0-4 1,0 5-23,0-1 1,0 1-101,0-5 0,0 0-153,0-1 0,0 1-34,0 0 0,1-1-130,4-4 1,-2-1 114,6-4 0,-4-2-84,4 2 1,-1-4-46,1-4 0,3-4 70,-2-6 1,-3-4 149,3-1 1,-6-4-103,6 4 0,-3-1 303,2 2 1,2 2 44,-6-2 1,1 4 550,-1 5-499,-4-4 1,7 12 531,-3-4-475,-4 4 1,5 11-46,-6 4 1,0 10 57,0-1 0,0 3-71,0 2 0,0 1-171,0 3 0,0-2-47,0 2 0,0-3-166,0-1 0,0 0 77,0 0 0,0-7-125,0-2 0,0-4 4,0-1 1,0-5 31,0 1-87,0-7 1,0 1 43,0-8 1,0-4-89,0-6 1,0-1 18,0-4 0,0-2 26,0-7 1,0 0-45,0 0 0,0 1 71,0-1 0,2 0 57,3 0 0,-2 0-18,6 1 1,-1 0-10,1 4 0,3-1 149,-3 5 0,4 2 421,1 8-24,0-4-82,-1 12 0,0-4 209,-4 10 0,-3 3-182,-6 6 0,0 4-114,0 1 0,0 4-257,0-5 0,-1 5-305,-4-4 0,-1 4 92,-3-4 0,-2-1-170,6-4 1,-4 0-141,4 0 1,-6 0 540,2 0 0,-46 6 0,-13 1 0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39.70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1 279 6694,'19'-2'603,"4"-3"0,11 2-57,10-6 0,15 5 82,21-6 1,12 1-923,-34 2 0,1 0 1,0 0-1,0 0 472,6 0 1,1 0-1,-5 0 1,2-1-102,2-1 0,-1-1 0,-4 3 0,-3-1-31,0-1 0,-2-1 0,-4 2 0,1-1-240,42-9 0,0 3 116,1-4 0,-13 4-821,-7 1 0,-7 4 899,-5 1 0,-2 6 0,-9-2 0,-3 4 0,-3 1 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0.09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8207,'15'5'1685,"-1"6"1,0 6-1324,0 6 0,6 4-50,-1 5 0,7 10-29,-1 11 0,-5 2 0,1 4 0,-6-5-72,0-5 0,-6-2 0,2-6 1,-7-8 134,6-6-270,-6-7 0,2-11-359,0-5 1,-5-4 204,4-4 0,4-10-298,0-9 1,4-10-112,1-8 0,-4-1-318,0-8 1,-1-4 61,6-4 0,5-1-1257,-2 5 2000,3 6 0,6-5 0,3 5 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0.8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111 70 7825,'0'-8'272,"0"-4"40,0 4 0,0-1 7,0 0 16,0 6-273,0-10 1,-1 12 191,-4-4-127,-3 4 1,-4 2 41,3 4 1,-4 3-242,4 5 0,1 1 71,-1 0 1,1 0-20,-1 0 1,1 0-46,4 0 0,2 0 78,-2 0 0,2-1-85,2 1 0,2-4 103,2-1 1,-1-1-196,7 1 0,0-1 66,9-4 1,-4-2 62,4 2 1,-4-2 46,-1-2 0,0 0 47,0 0 125,0 0 0,-2 1-29,-3 4 96,-2-3-274,-7 10 0,-7-4-155,-2 6 1,-3-1 22,-2 1 1,-5 0-191,1 0 1,-1 0 43,6 0 1,-1-5-99,0 0 1,0-1-321,0 1 176,6 4 543,2-12 0,6 4 0,0-10 0,6-7 0,4-7 0,3-5 0,6 1 0,3-4 0,5 0 0,0-1 0,-4 0 0,3 0 0,-3 0 0,5 1-79,4-1 0,-7 2 48,3 3 0,-10 2 451,1 8 0,-4 5-172,-1 3 1,-5 4 218,1 1 1,-7 6-149,1 3 0,-2 5-3,-2 5 0,0 1-68,0 3 0,0 3-78,0-3 1,0 3-56,0 2 1,0-2-179,0-3 1,0 2-212,0-6 1,1-1 180,4-4 0,1-5-348,3 1 1,4-7 200,-4 1 0,3-4-39,2-4 0,5-6-12,-1-8 1,1 1-19,-5-6 1,0 0 84,0-5 0,-1 0 101,1 0 1,-1 1 165,-4-1 0,2 6-175,-7 4 474,1 2-35,-5 2-105,0 7 1,0 7-34,0 9 0,0 5-67,0 4 1,0-1-58,0 6 0,0-6-10,0 2 1,0-4-256,0-1 0,6 0-25,3 0 0,-1-2-312,1-2 463,1-4 0,4-6 94,-1 0 0,1-2 0,0-2 0,19-72 0,-15 27 0,1-1 0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1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7773,'0'13'692,"0"1"0,0 6-274,0 4 0,0 3 62,0 6 1,5-1-99,0 10 1,-1-2-171,-4 11 1,0-6-192,0 1 1,0-3 21,0-1 1,0-7-96,0-2 1,0-10 57,0-5 1,0-7-468,0-2 256,0-6 1,0-3-128,0-9 0,0-5 154,0-4 1,0-4 39,0-6 1,0-4-144,0 0 1,2-7 32,3 2 0,-4 3 99,4 2 1,2-2-21,3 1 1,-3 1-13,3 4 1,-1 0 112,5 1 1,0 3 217,0 1 0,4 6 320,1-1 581,-1 9-662,-4 2 0,-6 10-181,-4 7 1,-2 0-81,-2 14 1,-2-1 14,-2 5 1,-4-1-762,-6 1 1,0-2 617,0-3 0,-12 10 0,-3-4 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1.6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132 0 7750,'6'0'-188,"3"2"444,-6 3 0,6-2 413,-2 5 0,4 1-259,0 5 0,-1 11-59,1 7 1,0 8 194,0 10 0,2 12-168,1 13 0,-7 11-212,1 4 1,-6-41 0,-2 0 20,1 0 1,-2 1-1,-3 2 1,-2 2-9,0 0 0,-2 0 0,-1-3 1,-2 1-85,1-1 1,-2 0 0,0-2 0,-1-1 57,-12 41 1,-2-8-464,5-8 0,1-18 285,3-11 0,2-8-513,5-14 1,0-4 13,0-9 524,0-3 0,6-12 0,-1-1 0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2.2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14 195 7801,'0'-14'0,"0"0"0,-4 0 426,-1 0 0,0 0 322,5 0-416,0 1 0,7-1-152,2 0 1,3 0-71,2 0 1,5 2 33,-1 2 0,7 0-110,-2 5 1,-3 0 98,-2 5 0,1 2-38,-5 3 1,3 2-70,-8 7 0,-3 2 83,-1 2 1,-4 4-60,-1 5 0,-1 1 68,-4 0 1,2 0 40,-6 0 1,0-1-34,-5 1 0,0-5 238,0 0 0,0-6-23,0 2 0,0-4-11,0-1 0,2-5-51,3 1 0,-2-6 229,6 6-420,1-7-61,4 3 0,0-8-141,0-2 1,7 2-43,7-2 0,2-3-136,7 3 1,-5-2-193,6 1 1,-1-1-528,5-3 1,4-2-736,0 6 1746,7 0 0,21 5 0,13 0 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3.6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68 70 7918,'-14'2'210,"0"2"-56,1-2 93,-1 4 1,6-4 4,3 2 1,5-2-70,5 2 0,4-2-57,10-2 0,2 0-126,7 0 1,1-6-219,4-4 1,-4 3 11,4-3 1,1 3-264,-2-2 0,0-4 120,-4 4 1,0 1-730,0-1 1078,-1 6 0,-11-3 0,-4 6 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43.82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70 0 7934,'-14'0'-203,"0"0"0,5 0-353,0 0 0,6 2 773,-2 2 0,2 6 982,-2 8 1,4 4-745,-4 5 0,4 6-220,1-1 1,0 7-545,0-2 1,0 3 207,0 2 1,0-2-1277,0-3 1377,0-3 0,18-13 0,5-1 0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5:51.10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66 211 7750,'0'-11'265,"-1"4"554,-3 1-193,3-1 112,-4-3-35,5-1-283,0 0 51,0 5-235,0 2 1,0 5-1,0 2 1,0 7-60,0 9 1,-1 5-65,-3 5 1,3 2 6,-3 4 1,-1 2-162,2 1 1,-5 3-151,5-2 0,-5 1 141,5-2 0,-2-1-145,1-5 0,3-5-36,-3-3-36,3-6-49,1-7 96,0-7 0,0-8 61,0-4 1,0-5 38,0-5 0,1-6 28,3-5 1,-1-2-1,4 0 1,-4-2-8,5-3 0,-2 2-26,1-4 0,3-1 14,-3-3 1,4 3 29,4 0 0,-2 2-14,5-2 1,-4 4 127,0 7 0,2 3 189,-1 7 0,3 4-10,-3 2 1,-1 7 140,-3 1 0,0 3 53,0 1 1,-3 5-144,-1 1 1,-4 5 81,5-1 1,-6 5-53,2 3 0,-3-2-95,-1 1 0,0 2-62,0 2 0,0 1-147,0 2 1,0-2-90,0 3 0,-4-2 57,1-3 0,-6 2-239,2-1 1,0-4 20,-4 1 0,5-5-99,-9 1 0,5-2 103,-4-1 1,1-2-22,3-1 1,-1-3 99,0-2 1,0-1 13,0 1 1,0-5 53,0-2 0,3-3 126,1 3 0,4-4 92,-5 1 1,6 1 25,-2 0 278,3 4-226,1-3 0,1 6-30,3 3 0,2 1-104,5 6 1,0 2 19,0 2 0,3 3-212,1 0 1,1 2-304,-2 1 1,0 0-394,4 0 0,-3 1 341,3-1 0,-1-4-843,1 1 1338,-2 0 0,5 16 0,2 5 0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6:33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47 114 7891,'0'-7'0,"0"3"-65,-2-1 0,2 0-131,-2-2 1,2 0 470,0 0 0,0 0 432,0-1 1,0 3-276,0 0 0,0 2-155,0-5 0,0 3 120,0 1 116,0 3 0,0-3-321,0 11 0,-1 0 0,-1 7 0,1 3-165,-3 0 0,2 2 103,-1 0 1,0 2-141,0 0 1,-2 0 40,2 1 1,0-5-143,1 0 1,0-3 42,0-2 0,0 1-287,0-4-1,2-3 172,-3-3 0,3-3-31,0-3 1,2-2 92,0-4 0,1-2 82,-1-3 1,2-3-45,-1-2 0,1-2 143,0 0 0,-1 2-82,2 0 0,-2 3 92,1-3 1,0 3-27,0 0 0,4 0 16,-2 3 1,2 0-35,0 2 0,-3 5-20,2-1 1,1 4 8,-1 1 0,0 1 0,-2 1 1,0 0-1,1 0 0,-3 3 4,-1 2 219,-2 2 1,0 2-28,0 0 0,0 1-21,-2-4 1,-1 5-143,-3 1 1,0-2 18,-1-1 0,1 2-588,0-3 0,0 3 276,0-1 1,1-3-1604,0 3 1849,0-2 0,-3 1 0,0 3 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6:34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 57 7410,'0'0'-967,"-1"0"1023,1 0 0,0 0 331,0-3-229,0 2 1,0-3-30,0 2 0,0 0 24,0-2 1,0 2 7,0-3 0,0 1 55,0-1 62,0-1 994,0 3-381,-1-5-317,1 4-379,0 1 1,0 4-81,0 1 0,0 2 77,0 4 1,0 1-14,0 3 1,-1 1-89,1 2 1,0 1 72,0 1 0,0 0-182,0 0 1,0-1 104,0 1 0,0 0 50,-1-1 1,1-1-99,0-1 0,0-2-154,0 1 0,0-5 28,0 1 1,0-3-68,0-1 1,0-3-157,0 2 333,0-2 73,0 4-50,0-5 69,0 2-18,0-3-147,0-3-25,0 2-2,0-2-162,0 3 222,0-3 0,0 2-99,0-2 50,0 0 0,0-1-9,0-3 1,0-1-4,0-1 1,0 0-9,0-3 1,0 1 60,0-3 0,0-4-26,0-1 1,1 1 100,-1 0 0,0 0-91,0 0 1,1 2 30,-1 0 1,0 3-20,1 4 0,-1 1-1,0 2 0,0 1 50,1 0-14,-1 3 1,0 0 70,0 2 1,1 0-91,-1 2 0,0 0 413,0 3-250,0 0 1,0 1 45,0 1 1,0 0-8,0 0 0,0 1 93,0-1 0,0 0-171,0 0 0,0 0-30,-1 0 0,1-2-347,0-1 1,0 1 137,-1 2 0,1-2-962,0 0 0,0-2 118,0 1 972,0-3 0,-1-6 0,1-8 0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6:36.7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89 7853,'-4'0'-836,"0"1"1119,1 2 20,2-2 245,-2 2-220,3-3 1185,0 0 0,0 3-1312,0 2 0,0 0 26,0 3 1,0-2-137,0 7 0,0-1 14,0 3 0,0 2-78,0 1 0,0 2-70,0 0 1,0-2 51,0 0 0,0-1-92,0-2 1,0 1 98,0-3 1,0-2-79,0-1 35,0-6-18,0 3 21,0-6 1,1 1 0,1-4 0,-1-2 64,2-4 0,-2 1-23,-1-1 0,0 0-32,0-2 1,0 1 33,0-3 0,0-1-129,0-2 0,0 1 114,0-1 0,0 0-54,0 0 1,0 0-26,0 0 0,0 0-15,3 0 0,-2-2 17,1 0 1,2-1-7,1 3 0,-1 1 12,1-1 0,0 2-1,3 1 0,-1 3 8,1-1 0,-1 4 5,1 1 1,-1 3 59,0 0 0,1 1-7,-1 1 1,1 1 105,-1 1 1,-2 3-63,0 2 0,-3 3 153,0 0 0,2 1-138,-2-2 0,1 1-13,-3 2 1,0 0-235,0 0 0,-1 1 67,-2-3 0,2 0-590,-4-3 1,0 1 36,-3-1 675,1 1 0,-17-1 0,-4 1 0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7:01.55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 0 8103,'-5'0'0,"2"0"1770,-1 0-726,3 0-625,-2 0-161,3 0-236,0 0 158,0 4 0,0 0-192,0 4 1,0 1-15,0 1 0,-1 0 106,-2 3 0,2-3-13,-1 3 1,1 1-96,1 1 0,0 1-6,0 0 0,-1-3 48,-2 0 1,3-2-17,-3 2 0,2-4 19,1 2 0,0-5-16,0-1 58,0 0 4,0 3 73,0-3-71,0 2 65,0-6-43,0 2-178,0-3-251,0 0 310,0-3 0,0 1-18,0-3 1,0 2 1,0-2 19,0-1 0,0-1-39,0-1 1,0 0-102,0 0 1,0 0 90,0 0 0,0 0-11,0 0 0,1 1 61,2-1 0,-3-3 7,3 1 0,-2-2 28,-1 2 0,3 1 5,-1-1 1,1-2 16,-3 2 1,2-1-9,1 3 1,2 0 3,-2 1 1,0 0-27,0 1 1,-1 0-7,3 4 0,-2-1 2,2 3 0,-2 0-10,2 0 109,0 0-103,3 0 90,0 3-63,0 2 115,-4 3 0,2 0-58,-3-1 1,-1-1 253,-2-1-288,0 0 0,0 3 83,-3 0-310,-1 0 0,-4-1 72,0-2 1,3 1-169,-1-3 1,1 2-784,-3-2 1065,0 3 0,-10-5 0,-3 2 0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7:01.8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 8 7687,'-3'-4'-335,"5"0"0,-1 4 0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7:02.3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1 7688,'-8'4'306,"0"3"0,3-6-107,0 2 1,3-1 236,-1 0-275,2-1 0,1 6 74,0-2 1,0 0 211,0 0 0,1 1-119,2 5 0,-2-3 115,1 3 0,-1 0-124,-1 0 0,0 3-115,0-1 0,0-1-84,0 1 1,0-1 82,0 2 1,0 0 0,0-4 0,0 1 27,0 0-268,-3-2-972,2 2 543,-3-3 165,4-4 195,0 0 76,0-4 29,0-4 1,0 0-3,0-4 0,0-2-18,0-1 1,0-2-5,0 2 0,1-3-38,2 1 0,-2-2-136,1 0 1,2-1 133,-1 0 0,2 3 52,-3 0 0,4 2-2,-4-2 0,4 4-8,0-2 0,-2 5 6,1 1 0,-2 3 127,2-1 0,-2 3-20,2 0 111,0 0 0,1 3-48,-1 2 1,-3 2 112,0 1 0,-1 1 20,-1 1 1,0 0 28,0 3 1,-3-2-91,1 2 1,-4-3 78,0 3 1,-1-2-136,0 2 1,1-3 6,1 0 1,0-2-124,-3-3 1,0 2-208,0-1 0,3-3-987,0 0 0,2-2 167,-2-1 974,3 0 0,-1-32 0,3-7 0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7:13.2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27 7952,'-5'0'1893,"1"-4"-1649,4 3 140,0-3-25,0 4 786,0 0-982,0 4 0,0 1-28,0 4 1,0 0-5,0 3 1,0-2-129,0 1 1,-3 3 95,0 1 0,0 1-160,3 2 1,0-4 44,0 1 0,0-1 16,0 4 1,0-5 30,0-1 1,0-2-1,0-2 0,0 1 31,0 0 0,0-3 17,0-1 0,0-2 118,0 3 44,0-4-26,0 2-34,0-4-160,0 0-165,0-4 0,0 2-26,0-4 1,0 3-83,0-2 68,0-1 1,0-3 40,0 0 1,0 3 25,0 1 1,0-1-6,0-3 0,0 0-8,0 1 1,0-1 15,0 0 0,0 0 10,0 1 0,1-1 72,2 0 0,-2-2-21,2-1 1,-2-1 96,-1 2 1,1 1-72,2-2 1,-2 3 104,2 0 1,-1-1-84,1-1 1,-3 4 31,3-2 72,2 2 1,-1 1-87,2 1 246,2 3-222,-3-2 122,3 4 1,1 3-28,0 0 1,-4 3 78,-2 0 0,1 2-111,2 1 1,-2-3 83,-1-1 0,-2 1 74,-1 3 0,0 0-29,0-1 0,0-2 381,0 0-439,0 0 0,0 3-43,0-1 1,-4-3-106,-2-2 0,1 1-209,0-1 0,-1 0-198,-3-3 1,0 0-460,1 0 0,-1 0-922,0 0 1765,0 4 0,-15 8 0,-4 7 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7:26.5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18 102 7902,'-5'-5'578,"1"1"1,1 3-286,0-1-14,0 1 116,3-3 0,0 0-102,0 3-48,0-3-95,0 8 1,0 2 28,0 5 0,0 0-131,0 3 0,0 4-18,0 2 1,0 1-124,0-4 0,0 4-32,0-1 1,1 0 65,2-2 1,-2-4-131,2 1 95,-2-4 0,0 0-294,2-5 299,-2 2 0,3-8-49,-4 0 0,0-4 58,0-5 1,0-2-18,0-1 0,0-5 7,0 0 1,0-1-22,0-2 1,0 1-17,0-2 0,0 3 42,0-3 1,0 3 116,0 1 0,3 0-82,0 3 0,0-3 177,0 2 1,-1 3-79,4 0 1,-3 3-30,3 0 88,0 4 0,1 0-107,-1 2 205,2 2 1,-6 0 41,4 4 1,-4 4 70,1-1 0,-2 0-131,-1 2 1,0-1 79,0 5 0,0-3-121,0 0 0,0 3 21,0-1 0,-3 1-191,0-3 1,-3-3 177,3-1-1263,-4 1 653,2 3 455,-3-4 0,-9-13 0,-1-6 0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8:06.0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 18 7792,'-5'4'-777,"-3"-4"2473,3 4-1205,1 0 0,-3-2-23,4 4-335,0 0 1,3 5-57,0 1 0,3 3 9,0-4 0,3 6-8,-4 0 0,4 1-2,-3 2 0,1 1 16,-1 0 0,-2-1-94,2-2 0,1-1-14,-1 1 1,0-4-22,-3 1 0,0-8 14,0 2 54,0-6 36,0 1-64,0-12 1,0 1-58,0-7 0,0-1-90,0-2 0,0-1 42,0 1 0,0-4-113,0-3 1,0 3 100,0 1 1,0 1 57,0 2 0,3-1 60,-1 1 1,4 0-21,-3 3 0,4 1 10,-1 4 0,3 1 18,2-1 1,-1 4 99,1 2 0,-1 2 48,-1 1 0,0 4-38,-1 2 0,1 3 162,0 2 1,-1 0-56,-3 3 1,-1 1 39,-4 2 1,0-2-77,0 0 1,-1-4-20,-2 4 0,1-5-77,-3 2 1,-4-2-129,-3-1 0,0-5-322,0-1 1,-1 1 211,-1-1 1,-2 0-1825,5-3 1965,-5 0 0,6-19 0,-2-6 0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8:15.62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70 7642,'0'-5'874,"0"0"-810,0 3 133,0 1-124,0-7 0,0 6 106,0-4 0,0 3 382,0-3 123,0 4-190,0-5 602,0 6-349,0-3-286,0 4 0,0 1-126,0 2 0,0 2 24,0 3 0,0 5-111,0 1 0,0 3-54,0 0 1,0 4-199,0-1 1,0 1 80,0 0 1,0-3-41,0 3 1,0-3 31,0 0 1,0-4-443,0 1 1,0-5 161,0 2 1,0-2-207,0-2 1,0-2-208,0 0 45,0-4 286,0 2 135,0-4-60,0 0 112,0-4 1,0 2-224,0-4 212,0 0 1,0-5-10,0-1 1,0-2-17,0 2 1,0-4-12,0 2 1,1 0 48,2 0 1,-2-1 83,2-2 1,0-1 15,0 1 1,4-1-53,-1 1 0,-1-1-26,1 1 1,-1 3 83,4 3 1,0-2 113,0 1 1,-1 1 32,1 2-18,0 4 1,0 1 82,-1 4 1,1 0-73,0 0 0,-3 0 129,-1 0 0,0 4-42,1 2 0,-1 5-26,-2 0 1,-2 4-73,2-3 1,-2 0-28,-1 0 1,0-2-88,0 5 1,0-4-199,0 0 1,-1-1-741,-2-1 0,-2-3 452,-4-1 0,0-3-1893,1 1 2362,-1 2 0,-23-12 0,-6 2 0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8:16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79 122 6138,'-4'4'338,"0"0"-35,0-4-251,3-4 1,-3 3 115,4-5 1,0 3-2,0-3 0,0 3 525,0-3-437,-4 0 0,3 1 594,-2-1-117,2 4 4,1-6-483,0 7 1,-1-3-35,-2 4 0,2 4 7,-2 2 0,2 3-39,1 2 0,-2 3 0,-1 3 0,0 2-24,3 1 0,-3 2 0,0 5 1,-1-5-58,1-2 1,2 2-161,-2-2 0,1-2-239,-1-4 185,2-3-201,-2 1 75,3-7-86,0-1 191,0-12 0,0 2 80,0-9 0,-3 0 29,0-2 1,0 0 9,3-1 0,0 1-30,0-1 1,0 1 14,0-1 1,0 1-14,0-1 1,1 1 17,2-1 1,2 1 6,3-1 1,1 1-34,0-1 1,-1 5-7,1 1 1,3 3 40,0 0 1,0 3 5,0 0 0,-3 4 162,3-1 1,-2 6-52,-1 3 1,-2 6 213,-1 2 1,1 0-104,-4 0 1,0 1 108,-3 2 1,0 1-45,0-1 1,-1 1-95,-2-1 0,1-2-74,-4-1 0,0-2-4,-2 3 0,-4-5-311,0 2 0,0-5 109,0-2 1,1-3 87,-3 1 1,3-2-298,-1-1 0,1-4-484,2-1 0,-2-7 215,6-3 570,1-1 0,4-33 0,5-7 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8:27.2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 36 7664,'0'-5'-205,"0"1"-190,0 4 260,-4-4-64,3 3 565,-3-3-153,4 0 480,-4 3-161,3-3 373,-3 0-156,4 3-387,0-3 1,-1 4 142,-2 0-287,2 0 0,-3 4-16,4 2 0,0 3 0,0 3 1,0 2 60,0 4 1,0 1-62,0 1 0,0 1-39,0 6 0,3-5 1,0 4 1,0-2-81,-3 0 0,0-2-50,0-5 1,1 0-237,2-2 1,-2-2-1593,2-4 869,-2-4-1469,3-1 2394,-3-8 0,-5-49 0,-6-15 0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8:27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63 28 7682,'-1'-5'208,"-2"2"284,2-2 0,-3 4 19,0-7-72,3 7-236,-3-3 0,3 4 80,-2 0-37,2 0 0,-3 1-2,4 2 0,-1 3-4,-2 6 0,2-1 86,-2 3 1,-1 2-77,1 5 1,0-1-48,3 4 0,-3-5-134,0 2 0,0 1-94,3-1 0,-3-3-208,1-4 1,-1-3-230,3 1-298,0-6 760,0-2 0,11-36 0,4-7 0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5.7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48 1 7873,'-10'5'-604,"1"4"0,0-4 1189,3 5 0,0-4-271,3 1 1,2 2-508,-2 4 1,3 1-168,3-2 0,-1 3-178,5 5 1,-4-1 537,3 0 0,-4 30 0,3 7 0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6.0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55 7873,'-6'1'0,"2"1"-224,-1-1 17,4 3 0,3-4 673,4 0 1,7-1-232,2-2 0,2 0-692,2-2 0,2-2 457,2 2 0,25-13 0,8-2 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6.6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58 0 7855,'-10'4'0,"1"1"0,-1 1 0,4 3 476,-1-3 1,5 4 692,-1 2 0,2 3-792,1 4 1,0 4-328,0-1 1,0 8-20,0-1 0,0 3 89,0 0 1,0-3-216,0 3 0,0-2 82,0-1 1,0-4-60,0-3 1,-3-3-93,0-3 0,-1-2-74,4-5 248,0-3 0,0-3-23,0-6 0,0-4-309,0-5 1,0-3 130,0-4 0,0-5 100,0-1 0,0-4 26,0-3 0,1 2 24,3-2 1,-2 2 27,4 1 1,0 1 22,4-1 1,0 1 86,-1 3 1,2 2-58,2 7 1,-2-1 79,5 5 0,-3 0-76,3 5 1,-4 3-10,1 4 1,-3 1 8,0 2 0,-4 3-5,1 3 0,-5 1-5,1 0 1,-2 2-6,-1 1 1,-1 3-206,-2-3 0,1 3 52,-5-3 1,1 3-128,-4-4 0,1 2 37,-1-1 0,2-2 105,1 1 0,-5-3 66,3 1 1,-2-6-13,5 5 0,-3-2 91,3-1 1,-2 3 499,2-3-310,-2 3 1,7 3-39,-3 1 0,3 0-485,1-3 1,6 2 124,3 1 1,2 1-409,5-1 0,0-3 220,3 3 0,0-2-280,0-2 0,0 0 640,1-3 0,-1 3 0,4-17 0,2 2 0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6.9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163 0 8356,'-3'10'994,"0"-1"1,-1 1-484,4 0 1,-1 3-268,-2 3 0,2 4-117,-2 2 1,2 2-132,1 5 1,-3-1 26,-1-3 0,1 3-170,3-2 0,-3-3 58,0-1 1,0-2 74,3-4 1,-4-3-532,1-3 268,0-5 1,3-1-66,0-8 0,-3-1 67,0-5 0,0-4-27,3-6 1,0 0 143,0-5 0,0 2 43,0-2 0,0 0 199,0 0 1,4 1-79,2 5 1,-1 0-111,2 0 0,-1 1 285,4 2 0,-1 2 327,1 4 1,0 2-251,-1 1 1,1 3 16,-1 4 0,-2 4-80,-1 3 0,-4 5-23,1 4 0,-1 2-35,-2 2 0,-5 0-162,-1 2 1,-3-2-308,0 3 1,-1-4 143,1-3 0,-1 1-561,0-4 0,-3 0 749,-3-4 0,-41-4 0,-10 0 0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7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14 196 7855,'-10'0'-730,"6"0"1,5 0 1580,8 0 1,12 0-353,8 0 1,11 0-164,7 0 1,7-1-149,11-2 1,11-3-306,9-1 1,1-4 56,3-1 1,-4-1 109,1-6 0,-1 2-174,-3-1 0,-8 1-198,0-1 1,-11 4-305,-1 2 1,-6 1 247,1 4 378,-11 1 0,4 2 0,-8 4 0,-4 0 0,0 0 0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7.81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 37 8098,'-4'-1'-267,"3"-2"1,-1 1-657,1 0 2145,0 1 0,-2 4-511,3 4 1,0 5-361,0 4 0,2 5-212,0 5 1,2 3-102,-2 2 0,0 8 77,1-2 0,-3 4-123,2-2 1,-1 0-57,-1-3 0,0-3 32,0-4 1,0-9-84,0-2-59,0-9-15,0-1 0,0-13 24,0-5 0,0-3-110,0-5 0,0-6 98,0-4 0,0-4 53,0-5 1,0 0 119,0 3 0,0-2-93,0 2 1,2 1 112,2-2 1,2 7-1,2-1 1,1 3 152,2 8 1,0-1-64,-1 6 0,1 5-58,-2 4 1,0 4 27,-1 4 0,-4 1 90,0 5 1,-2 1-7,2 2 1,-3 3-58,2 0 1,-3 0-128,-3 0 1,0 2 84,-3-3 0,2-2 4,1 0 0,-2-1-69,0 0 0,-1-2-178,1-1 1,-3 0 83,0-3 1,0-1-125,2 1 1,0-4 214,0 2 1,1-2-88,2 1 84,-3-2 0,6 4-135,-2-1 1,1 1-176,1 3 1,3 3 129,3 2 1,2-1-83,4 2 0,0 2-56,2 3 0,1-3-616,2-1 944,-2 0 0,13 8 0,0 1 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8.2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20 7824,'-5'0'366,"0"1"176,1 2 0,3-1-194,-2 5 1,2-1 38,1 4 1,0 4-211,0 2 1,0 0-147,0 3 1,1-2-204,2 5 0,-2-2 151,3 0 0,-2-1-103,1 0 1,-2 0-22,2 0 1,-2-4-257,-1-2 23,0-7 17,0 3 178,0-8 1,0-1 118,0-6 1,0-7 84,0-3 1,0-2-57,0-1 0,0-1 97,0 1 0,0-1-35,0-2 0,0 5 132,0-3 1,0 7-21,0-3 1,4 3 86,3-3 0,1 4-45,2-1 0,3 4-30,0 2 0,2-1-60,-2 1 0,3 3 26,-3 1 0,0 2-160,-4 1 0,0 1 80,-3 2 0,2 2-126,-5 5 0,0 0-111,-3-1 0,-4 5-188,-2 2 1,-3-1 13,-1 1 1,1-4-265,-1 0 0,1-1 638,-1-1 0,-17-13 0,-3-4 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8.5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229 0 7793,'9'7'247,"-3"-1"1,3-2-2,-3 3 1,4 2 306,3 0 1,-2 3-169,5 7 1,0-1-62,3 10 0,1 4-47,-1 8 1,-4 4-28,-3 5 0,-2-2 0,-4 3 0,-1 1 18,-5-2 0,-6 6 0,-3-3 0,-5-1-388,-5-1 0,-6 1-448,-4-2 1,-5 2 567,-7-1 0,-11-11 0,-11 3 0,-7 4 0,1 0 0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8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249 1 7850,'-6'0'-498,"-1"0"1,4 0 110,-3 0 0,-1 0 820,-2 0 0,2 0-33,1 0 0,-4 8 162,-3 4 1,-4 9-229,1 8 1,-2 13 14,-1 13 1,-3 16-260,-1 19 0,12-43 0,0 2-261,1 5 0,1 4 0,3-4 1,1 4 158,1-1 0,2 2 0,1-1 0,1-1 121,0 0 1,3-3-1,12 36-597,10-12 1,13-21 29,10-17 458,8-12 0,-2-33 0,6-9 0,6-3 0,-1 2 0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09.58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20 7771,'0'-6'145,"0"-1"0,1 5-118,2-1 1,-1 2 262,6 1 1,-2 0-59,4 0 0,1 0-249,-1 0 1,1 0 25,3 0 0,-2 4-65,2 2 1,-4 3 131,-4 1 1,3 2 15,-6 1 1,0 4-158,-3-1 1,0 2 81,0 1 1,-4 1 68,-3 0 1,-2-1-43,-1 0 0,-1-4 62,0-2 0,-1 0-19,-2-4 0,3 3-4,5-6 0,0 0 43,-1 0 13,-2-4-147,8 2 104,-4-4 0,10 0-3,2 0 1,1 0 25,3 0 0,3 0 134,0 0 0,3 0-127,-4 0 1,5 0 84,-1 0 0,3 0-214,1 0 1,-4 0 134,0 0 0,-4 0-659,4 0 0,-4-1 296,1-2 0,-2 2 231,-3-2 0,-30-7 0,-9 0 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2.5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349 0 7917,'-9'0'0,"-1"0"0,1 0-704,-1 0 0,1 0 704,-1 0 0,0 4-35,-3 3 0,3 2 203,-3 4 1,0 2 90,0 3 0,-4 5-110,2 3 1,0 2 61,-1 3 0,1 8-116,-4 9 1,2 5 21,-2 9 0,5 3 168,-4 8 0,5 4-351,0 8 1,3 3 164,0 11 1,5-6-23,3-44 0,1 1 0,0 47-34,1-3 1,0 5 16,0-2 1,0-5-96,0-7 0,4-8-51,3-8 0,5-3-89,4-2 1,2-15-154,0-8 0,6-9 110,1 0 1,7-8 217,6-1 0,3-3 0,5-1 0,1 0 0,2 0 0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6.6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66 37 7797,'-6'0'-364,"-2"0"196,7 0 1,-2 0 388,6 0 1,2 0 579,5 0 0,3 0-563,3 0 1,1-3-197,2 0 0,1 0-124,1 3 1,-1 0 80,2 0 0,-3 3-6,-4 0 0,2 5 14,-5-2 1,1 2 191,-4 1 0,-4 4-116,-2-1 1,-2 5 140,-1-2 1,-4 3-152,-2 1 1,-7-1 15,-2 1 1,-3-1-130,0-3 1,-1-1 88,0-5 0,1-4-96,-1-2 1,-1-2 33,-2-1 1,3-4 156,-3-2 1,3-6-47,4-4 1,1-2 158,5 0 1,1 0-166,1 3 0,3-2-32,4 5 0,0-4-161,0 4 0,7-1 83,3 4 1,5-1-681,1 1 1,3 3 300,2 0 0,4-1-615,6-2 1,2 3 1011,1 0 0,19-1 0,1-2 0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7.3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4 118 7780,'1'0'0,"1"0"16,-1 0 319,-1-4 332,2 3-414,-2-7 1,0 6 278,0-5-56,0 5 0,0-1-245,0 3 1,0 3-1,0 3 1,0 4 34,0 2 1,0 3-54,0 6 0,-1 1-124,0 5 0,1 5 82,-1-3 1,1 4-233,0-3 0,0 1-43,0-1 0,-1-3-17,0 0 0,0-4 73,1-5 1,0-4-158,0-2 106,0-6-293,0-2 265,0-16 0,0 4 93,0-10 0,0 1-149,0-4 1,-1 2 85,0-6 1,1 1-113,-1-2 1,1-2 28,0 1 1,0-1 28,0-1 0,0 3 87,0-1 1,0 2-8,1-2 1,1 3 146,1 0 1,0 7-86,-1 3 1,1 1 104,0 4 1,0-2-3,0 5 1,0 2 230,0 1-256,0-2 1,0 4 68,-1-2 1,0 2 60,0 1 22,-1 0-67,1 4 1,-1-2-73,0 4 0,-1 0 143,0 3 0,0 0-62,0 0 1,0 0-43,-1-1 1,0 5-62,-1-1 1,1 0-17,-1 1 1,0 0 63,0 2 1,-1-2-12,1-4 0,-1 0-302,2 4 0,-2-6 79,0 2 0,1-3 51,0 4 0,-1-4-1037,1 0 1112,0-4 0,0-2 0,1-5 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7.8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10 7990,'0'-5'1392,"0"0"-845,0 5 249,0 0 1,0 5-668,0 1 1,0 3 81,0 4 0,-3 4-145,0 5 1,0 4 18,3-1 1,0 2-191,0 1 1,-4 0-2,1 0 0,0 0 18,3 0 1,0-5-1,0-5 1,0-3-549,0-6-179,0 0 330,0-3 246,0-15 1,0-2 94,0-11 1,0-1 127,0 1 0,0-2-42,0 2 1,0-4 24,0 1 0,3 2-3,0 1 1,5 3 22,-2 0 0,2 4 86,2-1 1,-1 5-71,0-2 1,0 4 198,1 3 0,-1 1-62,0 5 1,1 0 164,-1 0 0,-3 0-79,1 0 0,-5 5-65,1 1 0,-2 2 124,-1 1 0,0 2-20,0 1 0,-3 0-724,0 3 0,-5-3 249,2 0 1,1-2-1491,-1 0 1700,-1-1 0,-10 5 0,-3 0 0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8.2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7735,'0'4'1585,"0"4"-1045,0-4 1,0 4-128,2-3 0,-1 3-215,2-3 1,0 3-143,2 0 0,-1 0-247,0 1 1,1 2-561,0 0 1,1 1 750,0 0 0,4 4 0,0 5 0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8.7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84 7745,'-4'0'-603,"0"0"1751,15 0 1,0 0-647,11 0 0,5 0-218,4 0 1,10 0-116,4 0 1,8-3-18,7 0 1,-1-1-9,3 1 0,-5 1-50,0-4 1,-3-1-150,2-2 1,-7 0-464,0-1 1,-11 2 305,-3 2 1,-2-1-824,-6 3 0,-2 1 1035,-8 3 0,-12 17 0,-6 4 0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9.4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78 7891,'-9'0'2069,"-1"0"-1707,1 0 0,3 1-154,-1 1 1,5 1-141,-1 6 1,2-1 92,1 6 1,0 3-163,0 4 1,0 7 3,0 1 0,0 3-21,0 4 0,0-1 92,0 3 1,0-2-131,0 1 0,0-5-18,0-7 0,0-3 96,0-7 1,0-3-89,0-3 58,0-4 1,0-6-95,0-9 1,0-2 42,0-9 1,0 1-115,0-7 1,0 2 63,0-6 0,1-2-75,2-4 1,-1 3 157,5 0 0,-1 2-51,3-1 1,2-1 76,1 3 1,1 2-29,3 3 0,3 3 100,-1 6 0,-1 4-48,5 0 0,-9 7 84,3 4 0,-5 4-70,-1 1 0,-2 4-5,-2-2 1,-2 6 90,-4 2 1,0-2-62,0 2 0,-1 0-51,-2 4 1,-1-3 26,-2 1 1,-3-3-181,3 3 0,-2-5 53,-1 5 0,2-7-151,1 0 1,0-1 5,-3 2 1,-1-4 114,1-2 0,0 0 81,-1 1 0,1-1 160,0-3 1,0-1 824,3-2-433,-2 1-238,7-1 1,-3 4-41,4 1 0,4 4 47,2 2 0,3 2-214,4 2 1,-2 1-254,5 4 1,-1 1-122,4-1 0,-4-1-410,1 0 0,0 0 117,2-1 1,0-2-358,-3 2 0,2-5 8,-5 2 946,1-7 0,-8-5 0,-1-4 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19.7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 46 7734,'-2'1'1018,"0"2"-374,2-2 1,0 7-221,0-1 1,0 1-494,0 1 1,0 2-36,0 1 0,0 3 14,0 3 1,1 1 112,1 0 1,-1-3-44,-1 3 0,1-6-64,1 6 1,-1-6 84,-1-1 1,0-2-168,0 0-131,0-1 148,0-4 0,0-2 72,0-6 1,-1-3-18,-1-6 0,1 0 85,1-3 1,0-1-5,0-3 1,0 1 11,0-1 1,0 0-48,0 1 0,1 2 181,1 1 0,1 0-83,0-1 1,0 2 118,2 2 0,-1 1-52,1-1 1,0 2 43,0 4 1,1-1-74,0 4 0,-1-1 4,-1 1 0,0 1-46,1-1 1,-3 3 25,-1 3 1,0 3-144,-1 3 1,-1 3 72,0 1 0,-1 3-362,-3 0 1,0-1-105,-1 0 1,1-3-281,1 0 1,0-2 743,0 0 0,-6-13 0,-1-4 0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0.7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128 0 7812,'-6'0'-322,"1"0"1399,2 0-682,2 0 0,-7 5-169,2 1 0,-3 10 42,0 8 0,-1 12 0,-3 9 1,2 18-53,-5 10 1,6 13-388,0 10 0,6-47 1,0 2 194,2 1 1,1 1 0,1-1 0,2-2-145,2 0 0,1 0 1,14 35-301,9-9 0,13-21-811,8-16 1231,9-9 0,6-33 0,8-8 0,8-3 0,-1 0 0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1.1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103 1 7430,'1'10'1191,"2"3"1,2 1-769,5 7 1,3 8-36,3 10 0,0 7-169,0 11 1,1 7-1,-5 8 0,-4-1-226,-5 2 0,-4-3 40,-5-4 0,-1 1-4,-9 0 1,1-9 7,-4-2 1,0-11-481,1-3 0,3-8-130,3-4 1,1-10-307,2-5 0,-1-8 197,-3-4 682,3-10 0,-12-23 0,2-13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1.65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9 7717,'6'-4'2366,"2"3"-2050,-3-3 1,4 5-322,1 2 0,-4-1 63,0 5 0,0-1-94,4 3 0,-4 1 41,0 3 0,-4-2 88,1 5 0,-2-4-150,-1 4 0,0-1-5,0 4 1,-4 0 29,-2-1 0,-2 1 76,-2 0 1,-2-5-15,0-1 0,-1-3 54,4-1 1,-1 0 248,1-3-158,0 2 11,-1-7 0,4 3 13,0-4 53,4 0 116,-2 0 1,5 0 5,2 0 1,-1 0-11,4 0 1,1 0-148,6 0 0,-3 0 2,3 0 0,-2 0-81,2 0 1,-2 0-125,5 0 1,-4 0 82,4 0 0,-2 0-137,2 0 0,-2-1-895,-1-2 1,-3 1 169,2-4 765,-1 4 0,-23 2 0,-4 5 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3.3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56 7796,'-5'0'-378,"0"-1"2388,5-2-1444,0 2 0,1-3-570,3 4 0,2-1 57,6-2 1,4 1-508,6-4 1,0 2 127,3-2 1,2 4-11,-2-1 1,-1-1-25,1 1 1,-4-1-289,0 1 1,-2 2 647,-3-3 0,-20 3 0,-7 1 0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3.54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1 7783,'-9'0'1627,"3"0"-1603,0 0 1,4 1 273,-2 2 0,3 2 126,1 4 1,0 5-168,0 1 0,0 7-44,0 3 1,0 5-211,0 1 1,0 5 83,0-2 1,1-2-1157,3-1 1069,-3-2 0,11-5 0,-2-1 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29.8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103 57 7780,'-9'-5'17,"2"-1"-98,1 3 1,4 1 1922,-1-4-1275,-2 4 0,4-3-579,-2 2 44,2 2 0,5-4-39,2 5 0,2 0 0,2 0 0,2 0-107,1 0 1,3 5 120,0 1 1,1 2 12,2 1 1,-3 4 68,-1-1 1,-2 2-80,2-2 0,-3 3 211,0 3 1,-3 1-86,-2 0 0,-3-1 52,-4 1 0,0 1-60,0 2 0,-8-3 57,-1 3 0,-3-3-101,-1-4 1,-1 2-94,-5-5 1,3 1 46,1-4 0,-1-4-134,-2-2 0,-1-2-31,0-1 1,4-1 100,-1-2 0,4-5-28,-4-4 1,5-6 43,-2-1 1,3 0-6,1-6 1,4 4 8,1-1 0,3-2 4,1-1 1,0 3-3,0 0 0,8 2-2,1 1 0,6 4-159,1-1 1,2 2 91,0-2 1,4 4-238,0 6 1,4-3 70,-1 3 0,1 2-312,-1 1 0,1 2 99,-1 1 0,-1 0-23,1 0 0,-4 0-109,1 0 0,-4 1 584,-2 2 0,1-2 0,-2 3 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0.49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75 37 8129,'-9'0'1977,"-1"0"-1750,1 0 1,4 5 105,2 1 0,2 6-68,1 4 0,0 2-57,0 4 0,-1 6-99,-2 6 0,1 3 56,-1 0 0,1 0-76,-1 1 1,1-1 73,-4 0 1,4-3-237,-1-3 1,-1-7 87,0-6 1,1 0-143,3-6 21,0-3 1,0-6 43,0-6 0,0-3-34,0-3 1,0-4 43,0-3 1,4-6-207,3-3 1,0-3-5,-1-3 0,2-1-109,-1-2 1,1-1 112,1 4 1,2-5-48,1 2 1,-2-1 285,3 1 0,0 2-101,0 8 1,3 1 288,0 4 0,-1 6-57,0 3 1,-4 5 78,2 5 1,-6 4 15,-1 2 0,0 4 133,0 2 1,-2 0-92,-4 3 0,0 1 69,0 2 0,-1-2-238,-2 0 0,1-2 67,-4 2 0,0 1-364,0-1 0,-2-3-283,2 0 89,-3 1 1,0-3 147,0 1 1,-1-6-268,1-3 258,0-2 1,-1-2-62,1-2 1,1-2 461,1-4 1,0-1-99,4 1 0,-3 3 792,3 0-197,0 4-277,3-3 0,3 11-122,0 3 1,4 4-72,-1 6 0,6 3-167,0 0 1,5 4-268,-2-2 0,0 0-492,0 1 1,1-4 344,3 1 1,-4-6-425,1 0 0,-4-6-223,4 0 1072,-5-5 0,-2-22 0,-4-4 0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0.8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 9 8552,'3'-5'2062,"-1"2"-1810,1 2 1,1 1-311,0 0 1,1 0 116,-1 0 1,-1 1-83,-1 2 0,0 2 80,1 5 0,0-1 66,-3 0 0,0 2-12,0 1 1,-1 2 1,-1 1 1,0 2-33,-2-5 0,0 4-4,0-4 1,-1 4-97,1-4 1,0-2-1,2-4 0,-1 0-409,1 3-131,-1-3 1,2-1 246,0-2 0,2-2 123,2 2 0,1-2-21,2-1 1,-1-1-617,2-2 0,-1 2 265,0-2 0,1 1 561,0-1 0,0 2 0,-1-3 0,3 8 0,0 1 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1.0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28 7766,'-10'0'491,"5"1"-216,2 3 246,2-3 1,2 3-428,2-4 0,2 0-499,5 0 0,0 0 276,2 0 1,2-1 137,1-2 1,2 2-958,-5-3 0,2 3 533,-2 1 1,-1-1 414,1-2 0,-1 2 0,-6-11 0,-1 1 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1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 0 7743,'-6'5'40,"-1"0"-53,4 4 1,-3 0 180,3 1 0,-1-1 342,0 0 0,3 4-662,-2-1 1,2 5 46,1-2 1,0 0-370,0 1 0,0-2 201,0 2 0,0-2-210,0-1 0,0-3 483,0 2 0,9-10 0,1-3 0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1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167 19 7736,'-5'-4'239,"1"3"0,4-5 867,0 3 0,1 2-775,2-2 1,-1 2-225,4 1 1,1 0-81,2 0 0,0 3 74,1 0 0,-1 5 1,0-2 1,1 3 60,-1 4 1,-3-2 26,0 5 1,-4-4-168,2 4 0,-3 0 71,-1 6 0,0-1-129,0 4 1,-1-4 92,-3 4 1,-4-3-60,-4 3 0,-2-4 72,2 0 1,0-2-168,-3-3 1,2 0-4,-2-3 0,0-4 54,0-3 1,-3-4-17,3 1 0,0-6-123,-1-3 0,5-3 48,-1-4 1,1-1 56,2-5 1,3-1-87,-1-1 1,5 0 62,-1-4 0,3 3 33,3-3 0,3 4-8,3-4 0,1 5 13,3 1 0,1 2-64,5 4 1,3 1-10,-1 2 1,2 2-155,-1 2 0,-2-1 64,2 4 0,-2-1-384,2 4 1,-2 0 80,2 0 1,-3 0-256,0 0 785,0 0 0,12-8 0,3-2 0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2.2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 75 7736,'0'-5'3031,"0"0"-2613,0 5 1,0 5 10,0 1 1,0 3-162,0 4 1,-1 5 34,-3 7 1,2 3-114,-4 3 0,3 2-33,-3 5 1,4 2-218,-1 1 1,-2-4 106,2-3 1,0-4-370,3 1 1,0-7 154,0-5 1,0-5-930,0-4 436,0-5 262,0-1 1,0-11 56,0-3 0,3-5 146,0-1 0,4-1-18,-4-2 0,1-3 37,-1 1 0,1-6-18,2-1 1,3 0 36,-3-4 1,-1 0-52,1 1 1,1-5 33,2-1 0,0 3 195,1 0 0,-1 5 94,0 4 1,-2 6 256,3 3 0,-6 6 39,5 0 1,-1 5-161,1 5 0,0 0 510,1 0 16,-1 0 1,0 3-252,1 0 1,-4 5 27,0-2-385,-4 2 1,2 1 39,-4 1 0,0-1-1,0 0 1,0 1-237,0-1 47,0 0 0,-4 1-386,-2-1 1,-1 0 176,0 1 1,-1-2-544,2-2 1,-2 3 220,-2-3 0,1-1 76,0 1 0,-1-4 127,1 1 0,-4-2-27,1-1 0,0 0 279,2 0-18,-3 0 0,2 0 109,-1 0 189,2 0 0,3-3 684,1 0-545,4 0 0,-2 4 250,4 2 1,3-1-171,0 5 1,4 2 96,0 3 1,1 2-347,1-2 0,1-1 15,-1 1 1,0 2-446,1-2 1,1 4 191,-2-4 0,5 0-328,-8-2 1,5-2-200,-1-2 0,-4 3-466,3-3 1,-1-2 265,1-1 0,-3-1-124,0 1 0,-3-2 896,4 2 0,-5-10 0,2-3 0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2.91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1 7698,'5'0'-70,"0"0"347,-2 0 230,-2 0-8,4 0-250,-5 0 1,1 0 258,2 0 0,-2 0-144,3 0 0,-4 4-107,0 2 1,0 3 173,0 4 0,0-2-33,0 5 0,-1 0-136,-2 6 1,2-1-96,-2 4 0,-2-3-76,2 3 1,-1-1-41,1 4 1,2-4 102,-2-2 0,-1-2-297,1-2 0,0-2-73,3-1 0,0-6-59,0 0 0,0-5-89,0 2-23,0-3 81,0 1 210,0-13 0,0 2-9,0-8 0,0 2 36,0-2 1,0 2-114,0-2 0,0-1 23,0-3 1,0 1-58,0-1 0,3 0 72,0 1 1,3-1-5,-3 0 0,3 4 59,-3-1 1,5 1 115,-2-4 0,-1 5 46,1 1 0,0 3-42,0 0 0,2 4 53,-2 0 0,3 4-45,0-1 0,-3 2 103,0 1 1,1 0 139,2 0 94,0 4 114,1 1 43,-1 4-49,0 1-142,-4-1 0,3 0 17,-5 1 0,0-4-106,-3 0 0,0-3-65,0 4 0,-3-4 42,0 3 0,-4-3-253,4 3 0,-4-3-91,1 4 1,-1-4-112,0 3 0,-1-4-107,2 1 0,-2 1-410,-2-1 0,1 0-525,0-3 0,-1 0 558,1 0 1,0 0-398,-1 0 1106,5 0 0,-7-29 0,1-7 0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33.5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65 7698,'0'-9'802,"0"0"0,0-1-436,0 1 1,3 3-126,0 0 0,1 3-192,-1-4 0,-1 5 104,4-1 0,-3 2-219,4 1 0,-1 0 5,3 0 1,-3 0-3,1 0 0,-1 1 43,3 2 1,-3-1 108,1 5 0,-4-1-37,3 3 1,-4-3 158,1 1 1,1-1-170,-1 3 1,1 0 67,-4 1 0,-2-1-115,-1 0 1,1 1 54,-4-1 1,0 0-139,-3 1 1,-1-1 91,1 0 1,1 1-2,1-1 0,-1-1 35,2-1 1,-2 1 81,-2-2 1,1-1 19,0 2 0,2-4 51,1 3-59,4-4 1,-3 3 51,2-2 218,2-2-101,-3 3-16,8-4 0,1 0 5,4 0 1,1 0-91,-1 0 1,1-3-159,3 0 1,-3 0 120,2 3 1,2-3-179,-2 0 1,2-1 92,-2 1 1,-1 2-91,1-3 0,-1 0 35,-2 1 0,0-1-134,1 1 0,-1 2 18,0-2 0,-3-1 56,1 1 0,-4-1-215,3 4-99,-4 0 0,3-3-3778,-2 0 4129,-2 0 0,-5 11 0,-6 3 0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1.5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85 7728,'-5'0'-1519,"-3"0"1639,7 0 1,-1 0-100,8 0 0,4 0 57,8 0 1,8 0 9,4 0 1,9 0 34,6 0 0,9 0-98,10 0 0,4 0 137,11 0 1,1-3-276,10-1 1,-5-2 281,5 3 1,-2-3-116,3 3 0,-2-3-4,4 2 1,-8-2 28,6 3 1,-3-1-30,-1 1 1,2 2-19,6-2 0,-11-1-90,0 0 1,-4 0 88,1 1 1,-3 2-159,1-2 1,-10 2 22,0 1 0,-5-1-720,-4-2 824,3 2 0,-8-3 0,1 4 0,-7 0 0,-6 0 0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3.0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38 7765,'0'-5'1519,"-4"1"-1104,2 4 8,-2 0-353,4 0 0,0 5 94,0 4 1,0 5-92,0 4 1,0 5 84,0 2 0,0 3-181,0 3 0,0 2 77,0 5 1,-1-1 8,-2 0 1,2 0 3,-2-3 0,-1-3-90,1-6 0,0-2 0,3-5 117,0-3-180,0-6 1,0-6 37,0-6 0,0-2 32,0-4 1,0-6-5,0-4 0,1 0-5,2-6 1,-2 0 0,2-3 0,1-3 24,-1 0 1,3-4-26,-2 0 0,3 3 10,-1 1 0,2-1-16,2 1 1,2 3 28,1 3 1,2 5-4,-2 2 1,2 4-1,-2 8 0,2 2-2,-2 4 0,-1 1 82,-3 2 0,1 2-75,-1 4 0,-1 1 140,-2-1 1,-1 3-71,-5 1 0,0 4 17,0-2 0,0 0-38,0 0 1,0 0 12,0 0 1,-5 2-68,-1-5 0,1 4-149,-1-4 1,0 1-65,-4-4 0,1 0 46,0 1 1,-1-2-34,1-2 0,0-2 20,-1-4 0,1 0 144,0 0 0,1 0 25,-1 0 1,5-4 132,-5-2 1,2 1 65,1-1 294,2-1-124,0-2-239,3 4 0,1 2-91,6 6 1,2 2 69,2 4 1,-1 2-241,0 1 0,5 3-116,1 3 1,0 1-133,0 0 0,-2-4 11,2 1 1,-2-2-174,2 2 1,-2 0 57,2-3 0,-3-2 133,0-4 1,-4 0 365,-2-4 0,0 0 0,-9-24 0,-3-5 0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3.2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47 9232,'9'0'189,"2"0"0,3 0-336,3 0 1,2-1-118,1-2 1,1 1-266,-1-1 1,-3 1 161,2-1 0,-1 2-56,-5-2 1,3 2 422,-5 1 0,-2 0 0,-4 0 0,-22-12 0,-2-4 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3.4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1 7765,'-5'1'155,"2"2"0,1-1 61,-1 4 0,1-3 204,-4 3 0,3 1-219,0 2 0,2 1-133,1 3 0,0 0-279,0 3 0,0 1 151,0-1 0,0 2-515,0 0 0,0-2 300,0-1 0,0-3 275,0 0 0,0-14 0,0-4 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4.5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20 167 7762,'0'-6'249,"0"0"0,0 2-38,0-2 1,0 3 27,0-3 1,0 3-75,0-3 0,0 2 166,0-2-138,0 0 0,0 0 193,0 0-144,4 4-35,-3-3 0,3 6-61,-4 3 0,0 5 36,0 6 1,0 4-30,0 3 0,0 2 19,0 4 0,-3 0-107,0 0 1,-1 0-32,0 0 0,3 0-131,-2 0 1,-1-3 119,1-1 0,0-4-104,3-1 0,0-2-258,0-4 86,0-5-153,0-4 229,0-12 0,1-2 137,2-9 1,-1-4-67,4-2 0,-3-3-1,4-3 1,-4 1-12,3-4 0,-1 3 53,1-3 1,3-1-30,-3-2 0,5 5 23,2 4 0,0 1 117,0 5 0,-2 1-83,5 6 1,-2 2 160,2 7 0,0 3 56,-3 6 1,-1 2 36,-2 5 1,-4 2-29,0 1 0,-4 3 90,1 0 1,-2-2-70,-1 2 0,0-1-78,0 4 0,-3-3-180,0-1 1,-4 1 111,1 2 0,-2-3-414,2-3 1,-4-1 20,3-2 1,-6 0-124,4 1 1,-3-4 149,3 0 0,0-4-83,-1 1 0,1-3 229,0-3 0,0 1-60,3-4 0,-2 0 441,2-4 1,1 1-60,2 0 899,2 3-294,1 2-389,0 4 0,4 2-375,3 5 0,1 0 95,1 8 0,2 1-471,1 3 0,-2-1 181,3 1 0,0 3-184,0 0 1,0-1-70,0-2 1,-3-3-209,3-1 0,-4-3 185,-3 0 1,2-2-220,-1 0 683,1-1 0,1-4 0,1-13 0,-1-8 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4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0 7720,'0'9'2321,"0"1"1,0 0-1967,0 2 0,0 4-193,0 6 1,0 2-90,0 4 0,0 0-131,0 0 0,-1 3 96,-2 0 1,2 0-346,-2-3 0,2-4 0,1-2 1,0-7-116,0-2 0,0-6-196,0-1 285,0-4 0,0 1 72,0-6 1,0-5 57,0-5 0,0-4 139,0-2 1,0-1-107,0-4 0,3 2 215,0-3 1,1 1-41,-1-1 1,-2-1 90,3 4 0,1 1 46,1 2 1,-1 1 37,1 3 0,1-2-6,2 5 1,0 0 92,1 6 1,2-1-127,0 4 1,1 0 67,-4 3 0,1 1-133,-1 2 0,-3-1 58,0 4 1,-4 0-201,2 4 0,-3 0 93,-1 2 0,-1 0 29,-3 3 1,-1-3-178,-4 0 0,0 2-178,-1-2 0,1 1-991,0-4 0,-1-1 564,1-1 1,0 0-55,-1-4 780,1 0 0,0-24 0,-1-5 0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5.2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0 7708,'5'5'340,"3"-3"43,-5 4 0,3 0 486,-3 3 0,4-1-362,0 1 1,-2-1-176,1 8 1,-1-1-101,1 4 1,2 1-208,-5 1 0,0 4 118,-3 6 1,0 0-201,0 3 1,-4 0-359,-2 3 0,-6-2-528,0-1 0,-5-4 943,2 1 0,-11-10 0,-3-4 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5.72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131 0 7733,'-10'0'99,"1"0"44,0 0 1,-2 0-723,-1 0 0,1 1 157,-1 3 1,2 5 421,0 9 0,1 4 552,0 8 0,2 9 902,1 8 1,4 5-891,-1 4 0,2 2-297,1 6 0,2-8-757,4-3 0,2-9 337,7-5 0,2-9-299,4-9 1,3-11 451,4-4 0,38-28 0,8-7 0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6.46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0 7729,'-5'0'106,"1"0"236,4 0 0,4 0-256,2 0 0,6 0-42,0 0 0,4 0 80,-4 0 1,5 0-77,-2 0 1,-1 3-1,-2 1 1,-1 3 61,-2-1 1,-3 2 39,0 2 1,-4-1 42,1 0 0,-1 2-113,-2 1 1,-5 0 117,-1 3 1,-2 0-49,-1 0 0,-4-1 220,1-5 0,-1 0-72,4 1 0,1-1 73,1 0 0,0-2-205,4-1 0,0-3-360,3 3-17,0-4 0,4 2-461,2-4 1,7 0-671,2 0 0,4 0 1342,3 0 0,35-8 0,12-2 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6.9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269 9 7586,'6'-5'-1484,"1"2"2206,0 6 1,5 6-299,-1 7 0,6 7-13,-1 5 0,2 9-4,4 13 0,-1 7 51,3 14 0,-4 7-428,2 12 0,-3 4 259,-11-44 0,-1 1 0,3 48 59,-7-4 0,-4 0-108,-5-2 0,-6-3-124,-9 3 1,-5-9 91,-4 3 0,-3-8-239,-4 0 0,-5-2 95,-1 0 1,2-11-764,1-6 0,3-9 10,2-7 0,4-8-278,7-5 0,3-11 190,5-8 777,3-5 0,7-3 0,2 1 0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8.6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170 112 6898,'0'-7'13,"0"1"0,1 4 169,2-5 0,-2 1-137,2-4 1,2 2 390,-2-2 82,0 0 1,-3 2 173,0-2-217,0 1-78,0 0-193,-4 4 1,-2 0-207,-3 5 0,0 0 19,-1 0 0,0 1-112,-2 3 1,1 1 62,-1 4 1,-1 0-60,1 1 0,2-2 47,-3 2 0,3-4 43,0 1 0,4-3 52,0 3 0,3 0-27,-3-4 1,4 2 141,-1-2-63,1-3 9,2 4 132,0-4 69,0 0 1,4 5-232,-1 0 1,0 5 79,-3-2 0,0 7-63,0 3 1,3 5 65,0 5 0,0 8-30,-3 4 1,0 10 3,0 6 1,-3 12-4,0 9 1,-3 10-334,3 9 1,-4 2 213,6-45 0,-1-1 1,1 1-1,-1 0 43,2 0 0,0-1 0,0 3 1,0 0-34,0 0 0,0-1 1,4 45 74,3-4 1,1-12-162,1-2 0,0-12-19,1-4 0,-2-14-137,-2-5 1,3-11 86,-3-7 0,3-5-111,4-3 1,2-7 13,4-4 225,4 0 0,0-4 0,5 5 0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9.60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275 10 7069,'6'-5'105,"2"2"1,6 2 126,7 1 0,-1 0-121,5 0 1,0 0 90,6 0 1,-3 0-11,3 0 1,-4 0 2,-2 0 1,-4 3-57,-6 0 0,-1 4 191,-6-1 1,-2 3-49,1 0 1,-5 1-101,1 3 0,-5 1 56,-1 9 1,-5-3 144,2 5 0,1 4-98,0 5 0,-2 7-56,-2 2 0,0 6-149,-1 4 0,4 6-16,0 2 1,4 5-129,-4 6 1,4-1-15,-2 2 1,3 1 63,1-6 0,0 5-17,0-3 1,-1-5 32,-2-2 1,2-9-1,-2-1 1,2-4 49,1 3 1,-1-7 23,-2-1 1,2-5 18,-2-3 0,-1 3 2,1-2 0,-5-4-133,3 1 1,-3-3 167,-2 0 0,1-2-143,0-2 1,-4 0 58,2-2 1,-6 1-256,2-1 0,-5 2 51,-2 0 0,-3 1-283,1 0 0,-2-3-111,-2-4 0,1-1-269,-1-2 1,2-4 137,2-5 681,-2-4 0,-26-53 0,-12-16 0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49.9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1 7747,'-5'0'0,"-1"0"0,3 0 0,2 1 315,-2 2 0,2-1 438,1 4 0,0 2-507,0 4 1,0 0-148,0 7 0,0-1-263,0 7 0,0-4 85,0 4 1,0 0-535,0 3 1,0-1 311,0-2 0,0-2-884,0-5 1185,4 1 0,-3 0 0,3-1 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50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0 7747,'-9'0'0,"-1"0"871,1 0-436,0 4-901,4-3 248,0 3 1,11-4 280,3 0 0,4 0-113,6 0 0,0 0-225,-1 0 1,1 0-85,0 0 359,-1 0 0,9 13 0,2 2 0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50.37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 1 7747,'-9'4'-300,"4"-3"1,2 6 722,6-4 1,5 1-148,5 0 1,2-3-36,-2 2 0,3 1-120,0-1 1,-2 4-26,2-1 1,-5 0-46,2 0 0,-7 0-2,-3 3 1,-2 4 155,-1-1 0,-1 5-59,-2-2 1,-2 0 197,-5 1 1,1-4 109,0 4 1,-1-5 647,1 1-1049,4-1 32,1-2 0,9-1-1694,4-1 1609,5-3 0,58-37 0,14-9 0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53.2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19 7813,'0'9'-524,"0"-3"274,0 1 0,4-5 439,2 1 0,11-2-189,5-1 0,66-21 0,-35 8 0,0 0 0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29:59.4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19 8326,'-9'-5'-673,"4"1"1,6 4 306,8 0 1,10 0 365,9 0 0,27-2 0,13 0 0,8-1 0,0 1 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0.2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364 47 7822,'-9'-4'7,"0"2"1,-1-4-5,1 2 1,-1 1-411,-3-1 0,3 2 329,-3-4 1,3 4 564,1-1 1,3 1-273,-1-1 1,0 2 2,-5-2 0,4 2-118,-1 1 1,2 0-94,-3 0 1,1 0 5,0 0 0,-1 0 308,1 0-225,0 0 1,-1 0-63,1 0 0,3 0 334,0 0-259,4 0 0,-4 0 316,3 0-224,2 4 18,-3-3-142,4 3 0,0 0-17,0 1 0,0 3-149,0 1 1,0-1 84,0 12 0,0 1-36,0 7 1,0 6 31,0 5 0,-3 13 5,0 13 0,-3 8 18,3 8 1,-5 5-321,2 4 1,-2 7 345,3-46 0,0 0 0,-4 47 28,0 0 0,-1-2 91,1-4 0,1-2-116,2 1 1,1-14 231,5-3 1,2-15 73,1-6 1,2-11 14,4-5 0,0-10-371,1-2 1,2-6 51,1 1 0,3-6-607,0-2 1,1-2 644,2 1 1,1-4-2236,2-1 2151,6-2 0,2-4 0,4 0 0,0 0 0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0.63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182 1 7918,'-9'0'-203,"-2"4"-157,-1 2 1,1 6 141,-5 6 1,5 9 0,-2 13 0,0 13 1184,0 15 0,-3 16-725,8-36 1,0 2 0,1 0 0,1 1-176,-1 1 1,1 3-1,2-3 1,1 2 75,-1-3 0,2-2 0,1 44-264,1-7 1,6-17-118,9-13 1,2-19-334,8-16 1,4-7-515,5-7 1085,2-4 0,23-31 0,4-7 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1.0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113 119 7893,'-5'-4'0,"0"2"-319,5-5 1,-3 4-233,0-3 2082,0 4-1076,3-6 0,1 6-151,2-5 0,-1 5-247,5-1 1,2 2-9,3 1 0,2 0-112,-2 0 1,2 1 95,1 2 1,2 3 64,-5 3 0,1 1-25,-4 3 1,0-2-41,1 5 0,-5 0 31,-2 6 0,-2-1 10,-1 4 0,-4-5-75,-2 2 0,-7-2 1,-2-1 1,-3-2 22,-1-1 1,-2-4-105,-1-6 1,-1-2 1,1-8 1,3-5 76,-3-6 1,3-7-34,4-3 1,2-2 4,7-1 1,2 0-1,4 0 0,1 4-234,2 2 1,6 3 70,7 0 0,6 0-225,2 1 1,4 3 127,4 3 0,-2 2-397,4 4 1,-3-1 686,3 4 0,5 4 0,3 4 0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1.36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8721,'0'7'836,"0"2"0,0 3-512,0 6 1,5 6-103,1 4 1,-1 7 144,1 6 1,0 6-97,4 0 0,-2 2 65,-2-2 1,1-6-100,-3-4 0,2-3-38,-3-6 1,1-10-98,-1-5 0,-1-7-180,4-6 1,-2-5-323,2-5 0,0-4 235,3-8 1,1-3-189,-1-6 1,0-2 108,1-4 1,-1-1-800,0 1 1,1 4 114,-1 2 0,0 1 928,1-2 0,16 3 0,4-3 0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2.6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84 47 7499,'-5'0'0,"0"0"721,2 0 0,2-1 265,-3-2-762,3 2-81,1-7 0,-3 6-74,0-5 1,0 4 207,3-3-107,0 4 1,0-3 83,0 2-55,0 2-104,-4-3-163,-1 4 1,-2 4-33,1 2 0,3 2 52,-3 2 0,3 0-55,-3 2 0,4 0-5,-2 3 1,0-2-46,1 2 0,0-2 64,3 2 0,1-3-115,2 0 1,-1-1 45,4-2 1,1 0-2,2 1 176,0-1 1,1-1-14,-1-2 323,0 3-222,1-8 0,-2 4 354,-2-2-346,-2-2-114,-4 7 0,-1-2 9,-2 3 1,-2-1-138,-4-2 1,2 3-258,1-3 1,0 1 51,-3-1 0,0 3-70,3-3 1,-2-2-253,2-1-164,2-2 467,-1-1 0,5-1 353,0-2 0,5-2 0,1-4 0,3-4 0,4 1 0,-2-5 0,4 2 0,-2-3 0,2-1 0,0 4 0,1-1 0,0 4 0,-3-4 0,-1 4 0,-3-4 0,1 5 58,-1-2 0,-3 4 447,0 3 674,-3 2-782,1 4 0,-4 1 6,0 2 0,0 5-51,0 4 0,-1 4-166,-2-4 1,1 5-37,-1-1 0,-1 1-116,1 2 1,0-4 2,3 1 1,0-4-156,0 4 0,1-5-38,2 2 1,2-4-118,5-3 0,-1 2-164,0-5 0,4-1 110,-1-5 1,4-3-35,-4-7 0,4-1 96,-4-5 0,4 0 61,-4 1 0,1-4 149,-4 0 0,0 1-70,1 6 0,-4-3 279,0 3 1,-4 4 22,1 2 37,-2 6 1,-1 0-4,0 6 0,0 3 2,0 6 1,0 0-122,0 3 0,-1 1 20,-2 3 0,2-5-18,-2-1 0,2 0-16,1-1 1,1 1-174,2-4 0,1-3 40,3 1 0,1-5-241,-2 1 1,2-3-17,2-3 1,-1-2 12,0-5 1,1-3 100,-1-3 0,0 2 55,1-2 0,-1 2 123,0-2 1,-2 0-104,-1 7 123,0-2 158,3 10 1,-3 2 747,-3 8 1,-2 6-305,-1 6 0,0 3 39,0 4 0,-3 0-263,-1 0 0,-3 3-38,1 0 1,1 0-353,-1-7 1,2 2 91,-2-4 0,3-3 9,-3-4 118,4-7-501,-2 0 1,4-13-32,0-5 0,0-3-131,0-6 1,0-4 188,0-1 0,4-3-39,2-1 1,2 3 135,2 0 0,-1 1 25,0-1 0,1 1 136,-1 2 1,1 6-127,3-3 0,-3 7 330,3-1 0,-2 3-32,1 1 1,-4 3 57,1 3 0,-5 3-191,2 3 0,-3 3-196,0 3 1,-3 1-359,-3 3 1,0 0 212,-3 3 0,-3 1-264,-4-1 1,0 2 574,1 0 0,-24 9 0,-8 2 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2.8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9 309 7825,'-5'0'-800,"2"-4"440,6 1 0,11-3 1168,9 3 0,13-4-370,11 0 1,12-1-201,11-1 1,14-5-427,-36 7 0,0-1 1,4-3-1,1 0 334,3-1 1,1-1 0,-3 1 0,-1 0-411,0 0 1,1-1 0,-5 2 0,0-1 45,-1-1 1,1 1 217,40-15 0,-35 13 0,3 0 0,-2-3 0,0 1 0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3.3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1 7835,'-6'0'199,"0"0"1,3 0-451,-3 0 1,4 1-410,-2 2 0,3 1 1666,1 6 0,5 6-414,1 4 1,5 5-219,2 4 0,3 6-161,0 6 1,-2 2-50,2 2 0,-5 0 60,2 2 0,-4-9 3,-3-2 1,1-6-37,-3-7 138,-1-6-332,1-8 0,-2-10 107,4-8 1,-3-3-449,3-6 1,1-3-34,2-2 0,3-8-203,1-3 0,-1 0 42,-2-4 1,2 3-343,1 0 0,3 2 880,0 1 0,26 24 0,8 3 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4.27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112 1 7835,'-3'6'0,"0"0"165,-4-4-128,1 6 1,0-7 370,0 2 0,3-1 69,-3-2-538,4-5 0,-6 3 215,5-4 70,-4 4-112,2-2 0,-5 4 53,1 0 1,3 0-409,0 0 1,2 4 60,-2 2 0,4 3 76,-1 0 0,2 0 114,1 1 0,0 2-7,0 0 0,4 1-83,2-4 0,3 1 94,0-1 1,3-3-114,1 0 1,0-3 86,0 4 1,-3-5 4,3 1 1,-3-1 30,-1 1 0,-2-2 179,-1 2-196,-4-2 0,2 0 11,-4 2 1,-1-1-258,-2 5 0,-2-4 86,-5 3 0,1-3-491,0 3 380,-1 0 1,2 1-324,2-1 153,-2-4 436,7 2 0,-4-4 0,10-3 0,1 0 0,2-5 0,1-2 0,5 0 0,1-6 0,0 1 0,0-4 0,1 4 0,3-1 0,-5 2-100,-1-2 1,0 1 206,0 3 1,-1 5 185,-3-3 0,-2 7 242,-1 0-145,-4 2 1,2 5-72,-4 3 0,0 2-102,0 3 0,0 0-164,0 3 1,0 0 147,0 0 0,0 2-283,0-5 0,0 1 61,0-4 1,1-1-196,2-1 1,-1 0 6,4-4 1,1 0-89,2-3 0,0-1 92,1-2 1,-1-3 67,0-7 0,1 2 84,-1-5 0,0 5-42,1-1 0,-4-2 138,0 2 1,-4-1-12,1 4 1,1 3 217,0-1-166,-1 5 195,-3-2-252,0 8 0,0 5-5,0 3 1,0 1-3,0-4 0,0 0-5,0 1 1,3-1-122,0 0 1,4-3 8,-1 1 0,3-2-88,0 1 0,-2-2 89,3-4 0,-3 0 0,5 0 0,-1-4 57,-2-2 1,-1-6 6,-1 0 0,1-4 84,-2 4 0,1-4-62,0 4 1,0-4 116,-4 4 0,3 0 221,-3 2-23,4 5 0,-5 2-39,1 6 0,1 3 121,-1 7 0,0 5-30,-3 7 0,0 2 20,0 1 0,0 4-134,0 3 0,0-2-9,0 1 1,0-4-279,0 1 1,0-2 71,0-1 1,0-4-36,0-2 1,-3-7-176,0-2 22,0-7 1,3-3-164,0-6 0,-3-5 125,-1-5 0,1-6-32,3 0 1,0-5 110,0 2 0,1-3-78,2 4 1,0-2 136,3 1 1,-3 2-5,3-1 0,0 1 19,4 1 0,-3 1 14,2-1 1,-5 4 69,6 3 1,-3 2 435,2 0-310,1 5-9,-1 1 0,-4 8-260,-2 2 1,-2 6 93,-1 0 0,-1 5-655,-2-2 1,-2 2 44,-4-2 620,-1-1 0,-16-5 0,-4 0 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4.5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244 49 7762,'1'-9'0,"2"1"0,-1-2-79,4 1 0,0 4-174,4-2 1,2 6 1053,1 1 0,3 5-321,0 7 0,-2 4 15,2 3 0,-4 9-55,4 5 1,-5 7-47,2 8 1,-4 4-141,-3 10 1,-2 4-37,-4 8 1,-2 4-241,-4 5 1,-4-2 200,-9 2 0,-4-5-65,-2-3 0,-3-3-441,-3 0 1,2-13-811,-2-4 0,2-14 394,1-4 0,0-9-337,0-9 1,1-7-165,2-6 1244,6-8 0,1-7 0,5-6 0,3-2 0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4.9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0 7757,'-7'0'1503,"1"0"-673,4 0-396,-2 0 0,5 0-101,2 0 0,2 0-132,5 0 0,0 1-159,2 2 0,-1-1-226,1 5 1,2-1 110,-2 3 0,1 1-78,-4-1 0,0 3 94,1 1 0,-5 3-106,-2 0 0,-2 2 11,-1 0 1,-4 1 85,-2 0 1,-3-5 232,0-1 1,-4-3-9,1-1 0,0-3 382,2 1 51,1-5 506,0 2-814,3-4 0,3 0-119,6 0 1,7 0-467,5 0 1,3 0 138,1 0 162,3 4 0,44 1 0,14 5 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6.1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75 7870,'-9'3'70,"0"0"407,3 1-95,2-4-131,4 0 1,4 0-181,3 0 0,4-4-5,1 1 1,5-4-301,-1 1 0,4-1 114,2 0 0,1-1-367,-1 2 0,-3-1 240,3 0 0,-2 0-300,-1 4 0,-1-3 547,1 3 0,-9 0 0,-1 3 0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0:06.30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0 7870,'-6'0'193,"-2"0"-163,7 4 1,-6 6 490,4 5 0,0 4-295,3 3 1,0 2-312,0 4 1,0 3 185,0 0-101,4 4 0,5 27 0,6 12 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38.5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211 89 7692,'-7'-8'-121,"1"-1"0,-1 4 214,1-1 1,1 0 173,0-2 1,2-1-145,-3 1 1,3 0-36,-2 3 0,2-2 550,-3 4 1,3-1-204,-2 2 0,2 2-65,-3 0 1,0 4-167,-6 8 0,3 6 97,-2 7 1,-3 6-66,0 9 1,1 1-33,-1 10 0,4 3 31,-2 8 0,4-5-243,2 3 0,3-8-187,6-1 1,3-8-482,5-9 0,6-9-815,6-8 1,2-7 84,3-8 1406,3-1 0,36-35 0,10-8 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39.2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77 118 7692,'-4'-5'638,"-1"-2"0,0 6-191,-1-2 0,4 1 164,-1-1 1,1 2-228,0-1 0,1 4-117,-2 4 0,-1 2-54,1 4 1,0 5-1,3 5 1,-2 7-6,-1 2 1,-3 3-1,3 2 0,0 3-158,0 3 0,1-3 103,-4-2 0,4-3-243,-1-3 1,3-4 37,0-7-487,0 0 73,0-11 148,0 0 0,0-7 79,0-4 0,0-3-120,0-4 1,0-3 202,0-2 0,2-3 2,1-3 0,3-4 56,-3-4 0,2-4-38,-2 0 0,3-3 88,-3-2 0,3-4-12,0 2 0,4-3 11,2 0 0,0 3 109,-1 3 0,2 5-86,4 6 0,-3 7 299,1 7 0,-5 5-130,1 3 1,0 9 149,0 2 0,-5 7 43,3-1 1,-5 4 167,1 2 0,-3 4-222,1-2 1,-2 2-58,-1-1 0,0 1-284,0-1 0,-1-2 100,-2 2 0,1-4-220,-3 1 1,2-2 97,-3-1 0,1-4-829,-4-2 563,1-2 1,-1-4-28,1-2 1,-1-2 14,1-1 0,0-4-167,2-2 1,-1-4 174,1-1 1,-1-4 146,-2 1 0,5-2 312,1-1 1,-1 3-152,1 3 0,0 2 1408,3 0-1028,0 5 1,4 1 360,2 6 0,4 5 63,1 6 0,4 6 226,0 3 0,1 1-555,1 1 1,2 1-67,1-1 0,0-3-162,-3-2 0,-1-2 0,-2-1 0,2-4-4157,-2-2 3953,-2-5 0,1-10 0,-5-5 0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39.9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26 7812,'-4'0'1164,"-4"0"-174,7 0-273,-3 0-578,4 0 1,1 0-32,2 0 1,2 0-151,3 0 1,5-1-94,1-2 1,3 3-337,3-3 0,-2 1 94,5-1 1,-4 2-398,1-2 1,-2-1-373,2 2 1146,-2-1 0,3 3 0,-4 0 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0.1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26 1 7710,'-6'0'330,"1"3"112,3-2 1,-3 7-213,2-3 0,2 6-39,-1 0 1,1 5-168,1 1 0,0 2-212,0 6 1,0-1-443,0 4 0,0-1 353,0-2 0,0 0-316,0-3 593,3-1 0,6-15 0,4-4 0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0.6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87 7691,'-1'8'842,"-1"0"-668,1 0 1,1 3 887,0 1 0,0 3-464,0-3 1,0 8-293,0 2 1,0 3-144,0 3 0,0 0-83,0 2 1,-2 2 35,0-5 1,0 1-135,2-4 0,0 1-151,0-4 1,0-5 66,0-4-406,0-3 341,0-4 0,0-3-130,0-8 1,0 0 35,3-9 0,-1-1 59,1-6 1,2-4 65,-2-1 0,2-4-122,0-4 1,1 0-60,-1 0 1,1 0 39,1-1 0,-1 2 289,4-1 1,-2 4-57,1 3 1,0 7 484,-2 2 0,2 7-37,-2 4 1,0 6 167,-1 2 0,-4 8-219,0 6 1,1 2 188,-1 3 1,0-1-120,-2 4 0,0 1-112,0 2 1,-2-4-360,0 1 1,-2 0-144,2 0 1,-1-2-218,1-4 0,-2 1 295,1-1 0,-2-3-3,1-1 0,0-6-2608,0 0 1959,0-4 0,-2 1 338,1-6 0,1-2 190,1-3 1,0-4 206,-1 1 1,1-3-123,1 4 0,2-2 376,-1 4 1,0 3 353,1-1-47,0 5 1,2-2-227,1 6 0,3 2 32,-1 6 1,1 2-384,1 3 1,0 2 117,2 1 0,1 0-264,-1 2 1,1-1-147,-2 2 0,2-4-301,-3 2 1,2-6 127,-2 0 1,0-5-551,-2 3 1061,1-7 0,-1-8 0,1-7 0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1.0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18 7668,'-5'3'1098,"3"3"1,0 0-121,-1 2 1,2 0-428,-2 6 0,2 4-492,1 4 1,0 3-44,0 0 1,0 1-6,0-1 0,0 1-391,0-1 0,0-2 256,0-1 1,0-7-490,0 0 392,0-5 1,1-5-479,2-3 411,-2-1 0,3-8 139,-4-4 1,0-4 12,0-2 1,1-3 3,1 0 1,-1-4-5,2 2 0,-1-3-11,1 0 1,1 2 139,1 1 1,3 4-70,-3 1 1,3 0 294,0 3 0,1 1 47,-1 2 1,4 2 177,-1 0 1,1 5 162,0 1-278,-3 2 0,3 5-53,-3 1 1,-5 4-48,-1 2 0,-2 1-266,-1 2 1,-1 2 65,-2-2 0,-1 3-637,-5-1 0,4 0 280,-1-1 0,0-2-752,-2-2 0,-1-4-52,1 1 1132,-1-5 0,-3-18 0,-1-9 0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1.3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0 7651,'9'0'268,"-1"0"1,1 0 405,-1 0 1,2 1-88,1 2 1,-1 2 165,1 3 1,-2 5-80,0 1 1,-1 6-269,1 6 1,-2 0 94,-1 5 1,-2 3-146,-4 3 1,0 6-383,0 0 0,-4 1 90,-2-2 0,-4 0-177,-1-3 0,-2-1-290,2-4 0,2-5-708,-3-3 0,3-8 374,0-7 737,1-2 0,-12-34 0,-2-9 0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1.6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43 9556,'0'-5'2089,"4"-2"-1819,2 1 1,1 2-256,2-2 1,2 4 95,0-1 0,4-1-120,-4 2 1,0-1 257,-2 3 0,-1 0-75,1 0 1,-1 4 142,1 1 0,-5 3-166,-1 0 1,-2 2-37,-1 1 0,-1 2 103,-2 4 1,-1-3 13,-5 0 0,1 0-354,-1 0 1,1 1 79,-1-4 1,4 0 183,-1-2 1,3-1 237,-3 1 0,5-4 545,-2 1 1,2-3-123,1 3-487,0-5 1,4 3-346,1-4 1,4 0-286,2 0 0,-1 0-579,4 0 1,3-1 892,3-2 0,19-5 0,1-5 0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2.8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153 22 7680,'-4'-5'825,"-1"-2"1,-3 5-10,-1-4-381,1 4 0,-3 3-118,-1 8 1,1 5 50,2 8 1,-2 7-31,0 10 1,-1 4-100,0 10 0,3 1-90,-2 8 0,5-1 0,3-2 0,2-4-265,1-5 0,9-8-952,5-11 1068,9-9 0,41-25 0,13-7 0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4.6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182 76 7672,'-6'0'-354,"2"0"-111,3 0 1,-6 0 599,2 0 545,2 0 0,-1 0 85,1 0-251,2 0-367,-1-3 1,2 1-1,2-4 1,0 3 117,3-2 0,1 2-59,0-3 0,1 4 7,1-1 0,-1 2-80,3 1 1,-2 0-19,2 0 1,-1 4-64,1 2 0,-2 1 62,1 2 0,-2 0-172,-2 3 0,1-2 47,-4 4 0,0 1 14,-2 5 0,0-2-34,-3 2 1,-1-2-77,-3-1 0,-3 0 75,-2-1 1,-3-1-81,-2-1 1,1-7 34,-3 2 0,-1-6 4,-1-1 1,3-3 80,1-4 0,1-2-30,2-7 1,-1 0 176,0-3 0,5-3-100,0 0 0,3 3 61,2 3 1,2 1-17,3-1 0,1-1-7,1 4 0,5 2-77,5 3 0,3 1-10,2-4 0,1 2-112,3 1 0,5-1 73,0 1 1,2 1-332,1 0 0,-1-1 125,-2-3 1,2 4-511,-4-1 1,0 3 178,-2-2 0,-4 2-3,-1-3 0,-2 4 573,-3-1 0,-4-1 0,-6-1 0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5.2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51 34 7679,'-5'4'1628,"2"-2"-1004,3 3 1,-1 1-70,-2 2 1,2 6-205,-2 3 1,2 4-54,1 7 0,0 3-26,0 3 1,-3 3-70,0 3 0,-2 2-147,2 3 1,-3-5-3,4 0 0,-2-8-103,1-4 0,2-2-138,-2 0 1,2-8-566,1-4-375,0-8 814,0-2 1,0-5-78,0-2 0,1-4 60,2-5 0,-1-4 17,4 0 1,-4-5 130,4-5 0,-4-2 151,1 0 0,-1-4-113,0 1 0,0-2 124,4-1 1,-3-3-44,2 0 0,-2-3 85,3 0 1,0 5 231,2 1 0,1 9-155,3 0 0,-2 9 120,4 1 1,0 9-96,3 3 0,-3 3 482,-3 3 0,-2 2-45,0 7 0,-4-2 111,1 4 0,-4 0-296,1 3 1,-2 1-118,-1 2 0,-1-2-267,-2 2 0,1-2 84,-4-1 1,4 0 125,-4 0 1,3-1-241,-3-2 0,1 1-420,-4-4 1,2 0-114,1-2 1,-1-4-421,1 1 0,-2-4 497,0 1 0,-1-2 72,1-1 0,-1-3 424,1 0-111,0-3 623,-1 1-366,4 0 0,2 5-9,3 6 0,0 2-75,0 4 1,3 1-50,3 4 1,2 1-259,0 1 1,3-1 53,1 2 0,2 0-399,-3-3 1,3 2 204,-2-5 1,2-1-706,-3 1 1088,0-4 0,13-12 0,3-9 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5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 8 7679,'0'-4'2564,"-3"1"-1996,0 6 1,0 1-195,3 5 1,0 3-156,0 2 1,0 2-18,0 1 1,0 4-173,0 1 0,0 3-74,0 0 1,0 0-75,0-3 1,0 3-70,0-2 1,0-3-319,-3 0 0,2-6 65,-2-2 0,2-6-12,1 0 153,0-4 0,0 1 87,0-6 1,0-6 152,0-5 0,0-2-3,0-1 1,0-3 115,0 1 0,3-5-117,0 1 0,0-1-3,0-2 1,-1 5 132,4 1 1,-1 2-74,4 1 1,-1 1 128,1 2 1,-1 2-97,1 3 1,0 5 385,3 1 1,-6 2-65,3 1 0,-4 1 52,1 2 0,1 1-203,-5 5 0,1 2-130,-3 0 0,-1 4-148,-2 0 1,2 0-426,-5-1 0,0 1 355,-2-4 1,-1 3 28,1-2 1,-1-4-2224,1-2 2344,-4-1 0,-9-26 0,-6-9 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5.8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16 7665,'9'-3'0,"0"0"66,2-2 1,0 3-52,3 0 1,-4 2-1,2 2 0,1 4 0,1 5 0,-2 2 0,0 5 1,-4 4 1429,-2 5 0,-3 6-663,-3 6 0,0 0 291,0 4 1,-3 0-510,-3 0 1,-4-1-509,-2 1 1,-2-6 33,3-2 0,0-5-675,2-9 1,3-2-951,1-2-1344,-1-4 2879,-2-5 0,-5-51 0,0-16 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6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11437,'9'0'67,"-1"1"-249,1 2 0,2-1 131,0 3 0,1-2-33,-4 3 1,0 0 417,-3 6 0,2-3-136,-4 2 1,0 2 51,-3-2 0,-1 3-83,-2-3 1,-2 3 273,-3-2 1,-1 2-51,1-3 0,-1 1-60,1-4 1,-1-2-77,1-1 0,2-2 108,1 3 1,2-4-139,-3 1 1,4-2-25,-1 2 0,6-2-290,3 2 1,1-2-61,2-1 1,6 0-90,2 0 0,3 0-440,-1 0 0,3-1 678,4-2 0,33-5 0,9-6 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7.0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0 280 7608,'0'-5'154,"1"1"-221,2 4 1,1-1-28,4-1 1,3 1-1,3-2 0,6 2 377,5 1 0,3 0-98,4 0 0,8-1-11,3-2 1,5 2-111,3-2 0,3 0 118,3 0 1,1-3 41,2 3 0,2-2-91,5 2 0,0-3-185,3 3 1,1-2 260,2 2 0,5-4-67,3 2 1,1 0-32,2-1 1,5 1-265,-1-4 0,-40 6 1,0 0 199,1 1 1,0-1 0,0 0 0,-1 1-64,3-1 1,-2 0-1,2 0 1,1 0 39,-1 1 1,1 1 0,-1-2 0,1 0 24,2 2 1,0 0 0,-2-1-1,-2 0-13,3 0 0,-1 1 1,0 0-1,1 1-3,-2-1 1,1-1 0,0 0 0,1 0-13,2 1 0,-2 0 0,0-1 0,-2 0 1,2 0 0,0 1 0,-1 1 0,-1-1-27,0 0 0,1-1 0,0 0 0,1 0 41,1-1 0,-2 0 0,-2 1 0,-1-1-239,2 0 1,-2 0-1,45-2 28,-2-4 1,-4 1-588,-2-1 1,-7 1 63,0-1 698,-8 1 0,1 0 0,-5 1 0,1-2 0,-3-1 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8.1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52 85 7668,'-4'-5'-145,"3"0"696,-2 2 47,-1 2-73,3-6 0,-3 5 213,4-4-246,0 5 8,0-7-298,0 7 1,0 1-32,0 6 1,0 5 9,0 3 1,0 7-1,0 4 0,0 5-29,0 7 1,-1 3-121,-2 5 1,1-2-62,-4 3 1,4-4 41,-4-2 1,3-7-107,-2-4 1,3-10-18,-1-5 35,2-8 0,1-3-93,0-6 1,0-2-138,0-7 1,3 1 134,0-6 1,2 1 70,-2-7 0,3 1 41,-4-4 1,4 0-21,-3-2 1,4 1 63,-2-1 1,2 1-40,-2-1 0,4-1 137,-1-5 1,1 6-108,2-3 1,0 4-8,0 1 1,1 5 65,2 1 1,1 6 132,-3 2 1,2 7-12,-3 2 1,0 3-125,-2 3 0,-2 1 150,-1 5 0,-1 0-41,-2 3 0,-2 1-16,1 4 0,-1 0-47,-1 0 0,-1 0-105,-1 0 1,0 0 27,-4-1 1,0 1-41,-2 0 0,2-2-57,1-1 0,-1-3-227,-3 3 0,1-4-113,-1-2 1,1 0 167,0-6 1,-1 1-47,1-3 1,-1 0 94,1 0 0,0-4 181,2-1 0,-1-6-36,1 0 1,2-1 167,2 1 0,-2 1 7,1-1 0,0 4-97,3 2 316,0 3-183,4-2 0,2 5 5,5 2 1,-2 5-99,3 6 1,1 3-139,1 3 1,2-1-95,1 4 0,0-1-214,0 4 1,0-4 18,0 1 1,0-4-272,0 0 0,-3-2-238,0-2 890,-4-3 0,3-11 0,-5-2 0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8.6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 9 7678,'-5'0'544,"-1"0"-134,4 0 1,-2 1 622,4 2 1,0-2-559,0 5 0,0 3-212,0 2 0,0 5-114,0 1 1,0 1 27,0 4 0,0 1-1,0 2 1,0 2-31,0 1 0,-2-2-113,-1 3 0,0-7-161,3-2 1,-3-2 77,0-1 1,0-4-359,3-2-9,0-1 184,0-5 1,0-3 74,0-4 0,0-4 55,0-5 1,1 0 10,2-3 1,-2-3-4,2-3 1,1 0 29,-1 0 0,2-2-13,-2-3 0,3 2 7,-4 1 1,5 2 9,-1-3 0,1 3 106,2-2 1,-1 4-6,1 1 0,-1 1 91,1 5 1,2-1-112,0 4 1,3 3 123,-2 2 0,0 2 130,-1 1 0,-1 1-42,1 2 1,-4 1 57,-2 1 0,-3 3-36,1-2 1,-2 1 83,-1 2 1,0 0-103,0 2 0,-1-1-206,-2 1 1,-2-1-46,-3-2 1,-1 1-272,1-1 0,-1 0-137,1 1 0,0-3 227,-1-1 1,1-3-2116,-1 1 890,1 2 1421,-1-4 0,8-39 0,2-14 0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9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102 17 7650,'0'-4'2130,"0"-1"-1408,0 2-323,0 2-113,0-3 1,-1 4-144,-2 0 1,3 4-1,-3 2 0,1 2-3,-1 4 0,1-1-120,-4 6 0,4-2 132,-4 5 1,0-1-15,-2 0 0,2 2 50,1 2 0,-1-2-74,-3-5 1,1 1 413,-1 0-275,5 0 1,-3-3 488,4-3-335,0-5-361,3-3 0,1-3-91,2 0 1,2-3 68,3-3 0,2 1-299,1-1 1,-1 2-102,1-2 1,2-1-283,1 1 0,-1-1 246,2 2 0,-4-3-154,3 3 0,0 0-7,3-1 1,-4 3-213,-1-2 1,-3 3 100,0-1 1,-1-1 274,0 1 0,-2 1 409,0 2 0,-4 0 0,0 0 0,-4 0 0,-22 0 0,-8 0 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49.78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51 0 7968,'-7'1'1613,"1"2"-1284,2-2 1,1 4 424,0-3 1,0 3-273,0 4 1,2 3 4,-2 2 1,2 4-207,1 5 0,-3 0-139,1 8 0,-1 0-175,3 3 1,-3-4-291,0-1 1,0-7-916,3-2 1238,0-2 0,0-54 0,0-13 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56.9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51 45 7870,'-9'0'441,"0"0"1,1 0 420,-1 0 477,0 0-1054,4 0 1,3 0-286,8 0 0,1 0 116,7 0 1,5 0-56,5 0 0,1-3-605,2 0 1,-1-3 293,0 3 1,1-3-555,-1 3 0,0 0 197,-3 0 0,2 2-26,-5-2 1,-2 1 632,-3-1 0,-20 2 0,-2-3 0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57.1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54 0 7858,'-6'6'339,"0"0"1,1 0-171,-1 3 1,-1 4 864,5 1 0,-4 8-438,3 4 1,-3 6-207,3 6 0,0 2-636,3 4 0,0-4 246,0-1 0,8 5 0,2 1 0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59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62 71 7807,'-8'0'-194,"-1"0"-494,0 0 1507,4 0 1,2 0-394,6 0 0,6 0-147,5 0 1,3 0-189,1 0 1,3 3-154,3 0 1,1 4 75,2-2 1,-2 4-8,-1 3 0,-2-1-4,-1 4 0,-5 0-50,1 6 1,-6-2 153,-2 5 0,-4-5-49,-5 2 0,-4 1 88,-2-2 1,-3 0-104,-3-5 1,-1 0-25,-5-3 1,0-3-8,1-3 1,-1-4-11,0 1 1,-2-6 9,-1-3 1,0-6-106,0-3 0,3-5-51,-3-4 1,3-1 114,4-2 0,-2 0 12,4-3 0,1 7 37,6-1 0,1 5 9,4 1 1,1 1-128,2 3 0,5 2-147,7 6 1,6-1 22,2 4 0,7-3-191,2 4 1,2-4-60,1 3 0,5-3-72,1 3 544,2-4 0,25 2 0,5-4 0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3:59.7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9 7807,'-6'0'80,"0"0"1,1-1 321,0-2 338,-3 2-491,7-3 0,-3 8-157,4 2 1,0 3 81,0 2 0,0 7 141,0 6 1,1 2-113,2 3 0,-2 4-27,2 5 0,-2 1-146,-1 2 1,0 2 149,0-1 1,-3-4-254,0-3 0,-1-5 55,1-6 1,2-3-334,-2-7 88,2-1 140,1-8 0,0-5-53,0-6 1,0-6-65,0-2 0,0-7 104,0-3 0,0-5 15,0-3 1,0-3-178,0 0 1,0 1 65,0 2 0,4-4 210,2 1 0,2 3 13,0-4 0,2 7 86,2 0 0,2 5-67,3 3 0,1 8 114,0 4 1,-2 4 236,-1 5 0,1 2-151,-5 4 0,0 1 58,-5 7 1,-2 1 111,-4 3 1,0 2-73,0 1 1,-1 0-118,-2 0 1,-1-2-250,-2 1 1,-2-1-92,3-2 1,-3 0-105,-1-2 1,-3 1 82,0-5 1,1-2-48,2-3 1,0-4-135,0 1 1,-3-2 41,1-1 0,-1-5 301,3-4 0,1 0-80,2-2 1,-1 1 857,5 1-90,-5 0-227,6 0 1,-2 5-82,6 4 1,2 5 76,3 7 1,4 2-283,0 3 0,4 5 77,-2 1 0,3 3-728,1 0 0,2-3 286,1-2 1,0-4-1053,0-2 0,-1-2 1250,3-5 0,1-7 0,2-2 0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0.2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62 7764,'0'-8'213,"-1"-1"53,-2 0 0,2 3 135,-2 0 0,2 3-123,1-3 1,0 3-33,0-2 0,4 3-147,2-1 1,3 2-122,2 1 0,-1 0 78,2 0 1,-1 1-75,1 2 1,-3 1-54,3 1 1,-5 3 99,-1-2 1,-3 5-1,3 1 0,-4 0-43,1 0 1,-3-1 0,-3 4 1,1-5 45,-4 2 1,0 1-44,-3-1 0,0-1 64,0-2 0,1-1-3,-1-2 1,0-1-39,0-2 1,3-2-8,0 2-635,4-2 450,-1-1 1,4 0-472,1 0 0,3 0 272,4 0 1,4 0-796,2 0 1173,1 0 0,29 4 0,7 1 0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0.4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44 18 7753,'-9'4'0,"0"-2"696,1 4 0,2-5-69,0 2-399,4-2 1,-1-1-223,6 0 1,5 0-194,3 0 1,5 0-466,-1 0 1,2 0 282,4 0 0,-2 0-234,1 0 0,-2 0 308,-3 0 1,0-3 294,-3 1 0,0-1 0,-3 3 0,-1 0 0,-22-12 0,-7-3 0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0.6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53 9 7753,'-3'-5'646,"1"1"-302,-4 4 0,4 4 61,-1 2 1,1 6-149,-1 2 0,2 7-40,-2 2 1,-1 3-361,1 0 0,-3 5 175,3 1 1,0 2-662,3 2 0,-3-5 215,0-2 1,1-5-381,2-3 794,3-7 0,10-9 0,6-6 0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1.1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159 89 7737,'-5'-4'107,"-2"2"126,4-4 1161,0 4-939,3-6 1,4 7-417,2-2 1,2 2-22,1 1 1,2 0-80,1 0 0,4 3 103,-1 0 0,0 4-55,0-1 0,-1 5 107,-3 0 0,-1 5-18,2-1 0,-3 1 0,-3 2 0,-2 3-9,-4-1 0,0 5 122,0-2 1,-5-1-83,-4-2 0,-1 2-111,-5-2 1,0 1 0,-6-3 0,3-5-190,-3-1 1,1-6-264,0-3 1,0-2 205,-3-1 1,3-8-167,-1-4 1,3-5 119,0-7 0,4 0 66,3-9 0,2 2 132,3-1 0,2-2 265,4 5 0,5 3 22,4 2 0,5 5 383,6 2 1,3 4-167,3 7 1,2-1 215,1 4 1,1-3-789,3 4 0,1-1 154,-2 3 0,4-3 12,2 0 0,25-16 0,11-1 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1.8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0 188 7703,'0'-8'0,"0"-1"0,0 0 0,0 0-46,0 1 1,0-1 341,0-2 0,1 4 615,1-2 1,-1 3-92,4 1-472,-1 1 1,2 5-125,-2 2 0,1 6-19,-3 9 0,1 0 0,-1 8 0,-1 1-91,1 9 1,-2-3-137,-2 1 0,1-1 28,-4 1 0,3-6-130,-3 4 1,3-5-57,-1 0 1,0-5 99,-1 1 1,3-8-113,-2-1 84,0-7-7,2-3 0,-2-9 42,3-4 0,0-4-58,0-6 0,2-5-6,0-4 0,4-1-89,-2-1 0,0-2 89,-1-7 0,2 4-98,1-5 0,3 4 35,0-5 0,1 4 68,-1 1 0,2 4 273,1 4 0,-1 6 4,3 5 1,-2 8 25,-1 6 1,-1 4 66,-2 4 0,-3 5 254,-1 7 1,-1 3-11,0 4 0,-1 1-136,-2 4 0,-3-3-298,-2 3 1,0-2 100,-1-2 0,-1-2-426,0 0 1,1-4 169,-1 2 1,1-5-211,-4 2 0,4-4-28,-4-2 1,4-8-155,-1-1 1,1-3 210,-1-3 0,3-1-3,-1-8 0,2 1 422,-1-4 0,1 4-83,3 2 0,0-1 478,0 1-388,0 0 0,1 4 57,1 2 1,1 7-58,3 5 0,1 4-84,0 4 1,2 0-141,1 4 0,2-1-254,1 4 1,-5-2-125,6-1 1,-2 0-13,0-5 1,1-1-240,0-1 1,-3-4 238,-1 1 1,0-5 475,0-3 0,-1-2 0,-1-17 0,-1-2 0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2.2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1 8672,'0'9'678,"0"0"-180,0 3 0,0 3-242,0 6 1,-1-2-52,-2 5 1,2 0-289,-2 6 0,2-6-119,1 2 0,0-5-160,0 0 0,0-3-73,0 0-290,0-4 231,0-6 250,0-4 1,0-6 221,0-3 0,0-2-54,0-8 0,0 0 93,0-2 0,0-4-70,0 0 1,1-2 161,2 2 1,-1 0 3,4 0 0,-1 3-52,4-3 0,0 5 21,0 2 1,0 3 112,0-1 0,2 3 153,1 3 1,3 2-136,-3 4 0,0 0 88,0 0 1,-3 4-27,0 2 1,-2 2 27,-4 1 1,0 0-167,-3 0 1,-1-1-269,-2 1 1,-1 0-44,-5 0 0,-1 0-373,-2 0 1,1-2-369,-3-1 0,2-2 349,-3-4 1,3 0 565,-2 0 0,-9-35 0,-4-9 0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2.6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36 7995,'0'-9'1527,"0"3"-809,0 0-355,0 5 0,4-6-185,2 4 0,1 0 27,2 3 0,0 0-173,0 0 1,1 1 115,2 2 0,-3-1-84,3 4 1,-2-4 9,-1 4 1,-1 0-96,-3 3 0,2-3 49,-4 0 0,0 1 16,-3 4 1,0-1-127,0 2 0,-1-2 93,-2-1 1,-2 0 54,-3 3 1,-2-2-107,-2 2 1,2-3 14,-2-4 1,0 3 132,0-2 0,0 1 143,3-1 1,0-1 107,1-2 1,2-2 179,0 2-126,4 2-17,-6-4-432,7 2 1,1 0 94,6 0 0,5 0-460,1-3 0,0 0-114,0 0 1,2 0-337,3 0 0,1 0 57,0 0 0,-1 0 794,1 0 0,11-8 0,4-1 0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3.62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36 7729,'4'0'2020,"3"-3"-2113,-1 0 0,5 0-893,3 3 1,4 0 1319,5 0 1,8 0-83,7 0 1,7 0 23,10 0 1,4 0-98,10 0 0,5 0-163,8 0 0,3 3 193,5 0 0,1 4-132,-45-4 0,1 0 0,2 0 0,2 0-183,3 1 1,1 0 0,-3-2 0,0 0 184,3 3 0,0-1 0,-2 0 0,-1-1-31,1 2 0,0-1 0,-1-1 0,1-1-42,0 0 1,0-1-1,-4-1 1,-1 0-105,2-1 0,-2-1 0,1 0 0,-2-1 25,-1-1 0,1-1 0,42-8-161,-1-1 1,-10 1 63,-1 1 0,-6 2-581,-8 1 751,-7 5 0,-4 0 0,-2 4 0,-1 0 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6.9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45 142 7511,'0'-6'-176,"0"0"1,0 3 595,0-3 1,0 3 12,0-3-93,0 5 61,0-7-93,0 7 144,0-7-290,0 7 0,0 2 115,0 8 1,0 3-133,0 6 0,0 4-14,0 1 1,0 7 12,0 2 0,-3 0-11,0 3 1,-4-1-12,1 4 1,2-5-13,1 0 1,0-6-146,0 0 1,-3-6 24,3-6-144,0-2 63,3-9-104,0 0 157,0-11 1,0 0-4,0-8 0,0-1 19,0-4 0,0 0 5,0-3 0,1-2-6,2-4 1,-2 1 18,2-1 1,1-1-77,-1 0 1,3-3 27,0 0 0,3 3-7,3 1 0,-2 1 35,1 2 0,3 0-2,1 3 1,1 4 23,2 4 0,-3 9 9,0 0 0,-1 4 72,4 2 1,-4 1-87,-3 2 1,-1 2 169,-1 3 0,-1 5 17,-2 2 0,1-1-6,-5 0 1,1 1-100,-3 3 0,0-1-3,0 1 0,-1 0-110,-2-1 0,2 0 62,-5-2 0,0 0 16,-3-3 1,0 0-134,0-3 1,-2-2-187,-1-1 0,-1 1 61,1-4 1,3 0-71,-3-3 1,-1 0 112,1 0 1,0-4 57,0-2 0,2-2 44,-2 0 0,2-1 99,2 0 0,0 0 207,2 0-58,-2 4-80,7 1 1,-2 4-108,6 0 0,0 5-25,6 4 0,-2 4-212,4 5 1,3-1 65,1 1 0,1 2-213,2 1 0,0 0 125,-1-4 1,1 1-270,0-1 1,-1 0 111,1-2 0,-3-2 117,-1-5 0,-2 1 311,3 0 0,-4-4 0,0-2 0,-5-10 0,-2-3 0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7.35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44 7736,'0'-9'-413,"3"0"1587,-2 1-326,3-1-205,0 4-435,-3 1 1,4 9 95,-2 4 0,-2 1-64,2 4 1,-2 4-53,-1 2 0,3 5-14,0-2 0,0 3-69,-3 0 0,0-2 103,0-1 1,0 1 0,0 2 0,0 0-497,0-3 0,0-1 152,0-4 0,0-5-494,0-1 296,0-2 48,0-5 0,0-2 85,0-6 1,0-3-15,0-6 0,0-2 156,0-3 1,0-2-32,0-1 0,0 0 28,0-4 0,0 4 21,0-4 0,0 4-2,0-4 1,0 2-9,0-2 0,3 3 101,0 3 0,4 0-5,-2 1 0,3 0 68,1 2 1,3 4-68,0 5 0,2 1 125,-2 2 0,0 2-41,-3-2 1,-1 6-83,1 3 1,-1 3-25,-2 2 0,1 0-18,-4 4 1,0-1-9,-3 0 1,-3 3-62,0-2 1,-4 0-166,1 0 1,-2-2-204,-1-4 0,1-4 168,-1 1 1,0-1-270,0 1 0,0-2 170,1-4 1,-1-4-14,0-2 0,4-2 375,2 0 0,6-29 0,2-6 0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07.7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45 7736,'0'-6'219,"0"0"0,3 3 365,0-3 0,1 3-236,-1-3 0,-1 3-107,4-2 1,-3 3-132,2-1 0,1 2 16,3 1 1,0 0-134,0 0 0,0 0 138,-1 0-157,1 4 0,-1 1 3,-2 3 0,1 1 79,-4 0 0,0 0-165,-3 0 1,0 2 7,0 1 1,-4 1-17,-2-1 0,-2-3 120,-1 3 0,0-1 15,1 1 0,-1-2 81,0 1 1,-2-4 181,2-1 1,-1-3 320,4 3-63,-2-4 0,0 3-180,2-2 1,1-2 525,2 2-600,2-2 1,1-1-77,6 0 0,3 0-286,3 0 1,0 0-403,5 0 0,-1-1-604,4-2 1,3 1 1082,0-4 0,54-12 0,13-5 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10.08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186 35 7917,'-5'0'-1004,"1"-4"0,6 3 1338,4-2 1,0 2-207,9 1 0,0-2 42,2-2 0,1 0-52,0 2 1,-1 1-89,1-2 1,0-1 36,-1 1 0,-3 1 317,-2 2 1,-2 0 1,-5 3-140,1 3 1,-4 1-160,1 2 1,-3 3 74,-3-2 0,1 9 271,-4-1 0,3 4-106,-2 5 1,-1 2-107,-3 6 1,3 5-63,0 2 0,1 5-145,-1 4 0,0 4 48,3 5 1,-3 3 71,3 5 1,0-5-22,3 4 1,-3-10-11,0-3 0,0-1 156,3 2 1,-3-7-89,0 1 0,-1-3-31,1-1 0,1-1-29,-4 2 1,1-4-136,-4-2 1,0 2 19,0-4 0,0-2 60,0-1 1,0-2-141,-3-2 0,1-3 18,-4-4 1,4-1-54,-4-2 1,3-2-182,-3-2 0,2-3-284,-2-2 1,-2-3-33,3-1 0,0-3-1270,-1-2 1886,5-2 0,-11-20 0,2-5 0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10.3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98 0 10166,'0'6'-1,"0"0"0,0 0-37,0 3 1,0 0 122,0 3 0,0 2-676,0 3 1,0 5 45,0 1 1,0 3-203,0 0 0,0 1 747,0-1 0,-42 16 0,-14 5 0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10.57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32 0 7834,'-9'0'477,"0"0"0,3 0-1,0 0-1757,4 0 1037,6 0 0,6 0 516,8 0 0,0 0-746,3 0 1,-2 0 142,5 0 0,-2 0 331,2 0 0,9 8 0,-1 2 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10.8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1 7834,'-4'0'0,"2"0"0,-1 0-91,3 0 0,-2 1-213,2 2 1,2-2 645,2 2 1,1 1-140,2 2 1,1-1-141,0 1 0,0 0-87,1 3 0,-3 0-105,0-1 0,-2 4 195,1 0 0,-2 3 147,-2-4 1,-1 5-24,-1-1 1,-2-1 176,-2 0 1,0 1 360,-1 3 0,-1-5-254,1-1 0,0 1 102,0-1 1,1-1 233,2-2-942,0-4 1,5 2-12,0-4 0,5-1-417,4-5 560,3-2 0,5-9 0,3-4 0,2-1 0,0-1 0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4:40.387"/>
    </inkml:context>
    <inkml:brush xml:id="br0">
      <inkml:brushProperty name="width" value="0.06" units="cm"/>
      <inkml:brushProperty name="height" value="0.06" units="cm"/>
      <inkml:brushProperty name="color" value="#E71224"/>
    </inkml:brush>
  </inkml:definitions>
  <inkml:trace contextRef="#ctx0" brushRef="#br0">30 83 8117,'-8'-6'255,"-1"-3"-190,5 4 483,1 5-141,-3-7 4,6 7-113,0 0-102,6 0 0,3 0-41,6 0 0,7 0 45,3 0 0,5 0 27,4 0 1,5 0-54,6 0 0,6 0-19,5 0 0,8 0-60,7 0 0,10 0-430,8 0 1,1-2 397,-42-1 1,-1 1-1,45 0 50,-2-9-1,-3 5-168,2-3 0,-10-3 76,1 8 1,-8-1-789,-8 5 0,-6 0 401,7 0 1,-18 0-1156,3 0 1522,-13 0 0,4 4 0,-10 1 0,-7 5 0,-9-1 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5:19.0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66 114 7656,'-9'0'298,"2"0"0,5 0 362,-4 0-371,5 0 0,-7-2 198,8-4-32,0 5-141,0-7 1,-1 8-134,-5 0 34,4 8 1,-5 1-180,7 7 1,0 2 44,0 3 1,0-1-43,0 7 0,0 2-34,0 9 1,0-4-84,0 4 0,-5-6 24,-1-5 0,1 2-37,5-8 1,0 1-233,0-6 131,0-7 51,0-2 1,0-9 61,0-3 0,2-11 32,3-11 0,-3-4 2,3-1 0,-1 0 12,1-1 1,-3-5-36,4 1 1,1-1 7,-2 6 1,6 1 21,-6 4 0,6-2 11,-6 8 1,8-3 91,-2 3 1,-2 8-73,2-3 0,-6 11 256,6-1 0,-6 4-5,6 2 1,-7 2-2,1 4 0,-1 3-92,1 7 0,-3 0 18,3 0 1,-3 0 161,-2 0 1,-2 6-53,-3 0 0,1-1-490,-7-5 1,6 6 132,-6 0 1,6-6-610,-6-5 1,2-1 323,-2 6 0,-1-5-733,6 0 1,-5-6 1095,6 6 0,-15-22 0,2 1 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35:19.6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97 7727,'9'-9'-42,"-2"-5"1,-7 10 867,0-7-171,7 8-155,-5-11 268,5 12-475,-7-5 1,0 8-36,0 5 1,0 5-78,0 10 1,0-1 25,0 7 1,0 2-37,0 8 1,0-2-74,0 2 1,0 3-67,0-2 1,-1 1 72,-5-1 0,4-9 26,-3 3 0,3-10-69,2-1 1,-2-3-97,-3-2-246,3-7-118,-5-1 0,7-21 226,0-3 1,0-13 121,0-3 1,0-1-273,0-4 0,0-5 79,0-1 1,2 3 85,3 3 1,-3 3 78,3 1 1,4 1 16,2-1 0,2 3 25,-2 3 1,3 5 104,-3 12 0,-2-3 261,2 8-218,-1-1 0,-1 13 411,-3 4 1,1 11-140,-2 5 0,1 3-8,-6 3 0,0-1-165,0 0 0,-6-5-62,1 0 1,-6-2-955,6 2 0,-6-3 805,6-8 0,-30-21 0,-1-6 0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1.2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0 7717,'-5'1'-270,"0"1"1,0 0 603,3 2 1,0 3 849,2 4 1,0 4-724,0 2 0,0 7-116,0 4 0,3 3-156,1 3 0,2 2 17,0 3 1,1-4-125,-1-1 1,0-2 47,-2-2 1,2-4 0,-2-5 0,1-3-58,-1-4 0,2-6 28,-2-3 0,0-4-143,0-1 0,0-6 42,3-2 0,0-7-130,2-4 1,-2-4 64,4-5 1,-2-1-107,1-3 1,-1-1 51,2-1 0,-3 1-440,3-1 1,-3 2-137,0 2 0,1 2-1086,0 4 1781,0 2 0,-3 12 0,0 1 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1.8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19 14 7758,'-3'0'40,"1"3"-121,1-3 320,-2 6 1,2-2-76,-1 2 1,1 0 879,1 1 0,0 3-441,0 3 0,0 0-451,0 4 0,3 3 21,-1 4 0,0 1-171,-2 0 0,0 1-59,0 0 1,-2-4-110,0 0 1,-1-1 53,1 0 0,1-5 11,-1-1 1,1-4-588,1-5 173,0-2-161,0-1 450,0-9 0,0-1 101,0-6 0,0-3 30,0-1 0,1-1 25,1-1 0,-1-4 74,1 0 0,1 0-97,-1 0 1,2 1 114,-2-1 1,3 1-11,-1-1 1,3 3 100,1 1 0,0 2 13,3 4 0,-1 3 156,1-1 1,1 4-66,-2 1 1,0 2 130,-2 4 0,0 1 42,1 1 0,-5 1-114,0 4 1,0 2 62,-2 2 1,0 1-99,-2 1 1,-3 2-47,-1 0 0,-2 2-64,0-2 1,-1 2-151,-2-2 1,1 0-103,-2-2 1,1-1-321,-2 1 0,1-3-554,0-1 0,-2-3 461,4-2 0,-1-1-572,3-3 0,2-5 1106,2-1 0,18-45 0,6-9 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2.43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22 7678,'-4'3'0,"2"-2"1167,2 2-492,0-3-802,2 0 1,2 0 28,2 0 0,2-3-422,0 1 0,2-2 223,3 2 0,-1-3-245,-1 1 1,1 0 541,-1 0 0,1 5 0,0 0 0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2.60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40 7671,'-3'2'0,"2"0"341,-1 0 249,-2-2-475,4 3 0,0-3 71,7 0 0,3-3-186,5 1 0,44-18 0,14-4 0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3.36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83 7758,'0'-7'0,"-2"3"-161,-1 0 1,1 0-247,2-3 0,0 1 479,0-1 0,0 1 1125,0-1-842,0 1 0,0 0-1,0-1 1,0 3-106,0 0 0,1 2-91,1 0 0,0 2 97,2 2 1,-2 5-34,2 6 1,1 4-20,1 7 0,0 3-65,1 7 0,-1 2-68,1 5 0,-1-2 49,0 2 0,3 0-102,0 0 1,-1-3 12,-1-4 0,-1-8 91,0-4 0,-1-9-157,-1-6 1,-1-5 73,2-4 0,0-4-96,0-5 0,0-5 73,2-3 0,0-4-54,2-7 0,-2 2-111,1-4 1,-1 1-269,0-1 0,-3 0-88,0 0 1,0 4-921,0 2 1426,-1 3 0,3 1 0,1-1 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4.4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84 6 7718,'-4'4'188,"-1"1"1,3-4 59,-2 1 0,2-1 694,-2-1-411,2 0-290,-4 0-197,3 0 1,-4 1-114,1 1 0,0-1 72,2 3 0,-2 0-66,2 0 1,1 2-17,-2-2 0,3 2 32,-2 0 0,2 1-53,0-1 0,2 1 29,0 2 0,0-2-118,2 2 0,0-2 67,2-1 0,3 1 18,1-1 1,1 0 73,-3 1 0,3-3 10,-1 0 1,1-2 182,-3 3 1,1-4-69,-1 1 1,-2 1 233,1-1-105,-4 3 0,2-1 3,-3 2 1,-1 1-132,-1-1 1,-2 0-198,-2 1 0,0-1 48,-1-2 0,1 2-259,-1-2 1,1-1-187,-1 2 1,1-4-139,0 1 82,-1-1 0,3-1 156,0 0 1,2-3 397,0-1 0,4-4 0,3-1 0,1-2 0,3 0 0,0 0 0,1 0 0,3-1 0,-3 1 0,2 1 0,1 0 0,0 0 0,0-1 0,-2 0 98,-1 2 1,-1 1 81,2 1 0,-4 1 963,2 2-385,-2 1-412,-1 3 0,-1 3-4,-1 1 1,-3 2-107,2 1 0,-3-1-97,0 0 1,2 3-107,1 0 0,-1 0-176,-2-1 0,2-1-34,0 2 0,2-2-51,-2 0 0,3-2 44,0 0 0,-2 0-63,1-3 1,3 0 79,1-2 1,2 0-6,-2 0 0,0-2 72,3-2 1,-1 0-10,0-5 0,2-1 131,-4 0 1,2-2-15,-2-1 0,-1 0 80,2 0 0,-4 2-63,-1 1 0,-2 4 320,0 0-269,-2 1 1,0 2 135,0 3 0,0 5-78,0 3 0,-2 4-13,0-2 0,0 3 66,2 2 1,0-1-138,0 1 0,0-2-80,0 0 1,1-2 6,1-1 0,1-2-194,4 1 1,-1-5 47,1-2 1,-1-1-74,1-1 1,1-1-33,1-1 0,0-2 50,-1-5 1,0-1 85,0-5 1,-1 0-9,0-2 0,-2 3 193,0-1 1,0-1 22,-3 1 0,2 0 151,-2 3 1,1 2 154,-1 1-48,-1 5 0,2 2-40,0 7 0,-3 2 150,2 6 0,1 4-46,-1 3 1,1 3-58,-1 1 1,-1-2-110,1 2 0,1-1-1,-1 3 1,1-2-220,-1-1 1,-1-5-43,1-1 0,0-3-65,0-1 0,-2-5 1,3-2-25,-3-3 1,0-1-80,0-4 0,0-4 75,0-3 0,0-3-37,0-1 1,0 0 29,-3-4 1,3 0-19,-2-3 0,1 2 6,1 1 0,0-1-118,0 3 0,0-3 62,0 1 0,3-1-48,1 1 0,4 1 255,0 1 1,4 1-97,-2-1 1,3 2 196,-1 3 0,0 0 40,-1 4 1,-2 2 58,-2 2 0,-1 7-103,-2 4 1,-2 3 97,-4 3 1,-2-1-81,-2 3 0,-1 0-22,1 3 1,0-3-269,-1 0 0,-1-2 72,-1 2 1,1-5 126,1 1 0,1-5-417,2 1 1,-2-2-1582,2 0 1317,1-4 654,0-3 0,12-26 0,2-9 0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4.84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7675,'3'10'677,"1"-1"0,-1 0-373,-1-1 1,-1 6 634,1-1 1,-1 4-368,1 0 0,-1 2-199,-1 0 0,0 0-206,0 0 0,0 1-138,0 2 0,0-5 45,0 3 0,0-6-105,0-1 0,0-3-249,0-1 255,0-5-104,0 2 0,-2-7-41,0-1 0,0-2-95,2-5 0,0-1 38,0-2 0,0-2-45,0-1 0,0-1 34,0-1 1,2-1-115,3 3 1,-1 0 66,2 0 0,-1-1 64,4-1 1,-2 1 4,0 4 0,2-2 147,1-1 0,0 2 241,1 0 1,-1 3-63,1 4 0,-2 2 258,-2 2-269,-1 2 1,-3 3 63,0 4 1,-3 2-182,0 4 1,-5 2 51,-1 0 0,-2 0-314,2 0 1,-3-1-11,1 1 0,-1-2-119,3-3 1,-1 2 89,1-4 0,0 1-344,2-3-41,-2-2 704,5-1 0,-1-6 0,13-27 0,3-8 0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5.0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6 7661,'5'0'0,"-1"0"0,-1 0-198,2-3 0,-2 3 694,-1-2 475,-1 4 0,4 3-776,-3 4 0,0 2-405,-2 0 0,0 2-41,0 2 0,0-1-246,0 3 0,0-2 136,0 2 0,0 0 144,0 0 1,0-1-164,0-4 1,1-1 379,1 0 0,2-6 0,8-11 0,1-8 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5.3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39 8383,'0'6'1383,"0"1"0,0-3-928,0 0 1,2 3-381,0 1 1,1 1 64,-1-3 1,1 0-157,1 1 0,2-1 85,-2 1 1,3-4-518,1-1 1,-1-1 233,2-1 0,-1-3-447,0-1 0,0-2 189,3-3 0,-3-1 153,0-3 0,0 0 166,1 1 1,-3-1 281,1 3 0,-1-2 926,-2 4-567,2 2-64,0 3 0,0 10-125,-2 3 1,-1 6 578,-3 5 0,0 2-206,0 3 1,0 2-46,0-1 1,0 4-175,0-1 0,-1 1 18,-1-1 1,-1-4-323,-4-3 1,0-4 10,-1 0 0,-2-7-846,-3-1 1,0-6 474,0-3 1,-3-3 210,-3-3 0,-29-17 0,-10-10 0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6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45 219 7664,'0'-6'148,"0"-1"0,0 3-92,-2 0 1,1-1 805,-1-1 1,1 2-343,1-1 1,0 3 390,0-2-563,0 3 0,0-2-131,0 6 0,-2 3 40,0 5 0,-1 4-1,1 2 1,0 4-213,-2 3 0,2 3 105,-2 0 0,1 3-235,-1-2 0,3-1 104,-1-3 0,0-2-303,0-3 0,1-3-90,-1-3 178,2-6 0,2-7 15,0-5 1,3-6 50,-1-4 1,2-3-138,0-4 0,1-3 90,2-5 1,-2-2 96,2 0 0,-2 2 1,-1-3 1,0 2 7,1-5 0,1 4 34,1 0 0,2 5 6,0 2 1,-1 3 60,1 4 0,-1 4-94,0 6 0,2 2 215,-4 6 0,2 1-32,-2 4 0,-3 0 126,2 5 1,-5 1-69,0 2 0,-1 2 132,-1 3 0,-1-2-153,-1 1 1,0 0-83,-2 2 0,0-1-328,-3 1 0,1-4 146,0 3 0,-1-4-158,1-1 1,-1-3-49,1-2 1,-1-1-186,1-3 0,0-1 170,-1-3 1,1-1-12,-1-1 0,1-4 162,0-2 0,-1-3 265,1 2 1,1-1 545,1 1-393,3 1 78,-2 1-188,3 4 1,3 5-84,1 7 0,4 3-47,0 3 1,4 2-180,-1 5 0,1-2-52,0 4 0,3-1-236,0 0 1,1 1 15,-1-2 1,-2-2-127,0-3 0,0-4 578,-3-4 0,-1-2 0,1-12 0,-4-3 0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6.63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 9062,'0'5'1050,"0"1"0,0 1-692,0 6 0,0-1-154,0 8 0,0-3-31,0 5 0,0 0-320,0-1 0,0 1 174,0 0 1,0-5-410,0 0 0,0-5 258,0-1 0,0-5-454,0 0 0,1-4 145,1 0 0,-1-2 42,1-2 1,-1-4 152,1-2 1,0-6 35,2 1 1,-2-4 190,3 0 0,-3-1-84,2-2 0,-1 1-30,2 0 0,0 0 177,0 2 0,0 2 238,2 2 1,-1 4-28,1 2 1,-1 4 141,1 3 0,0 0 118,1 0 1,-1 2-185,-1 3 0,0 3-11,-4 0 1,0 4-33,-2-2 1,0 0-272,0 1 0,0-1-258,0 1 0,-3 1-437,-1-2 0,-3 0 353,-1-2 317,-2-1 0,-20-6 0,-4-2 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7.0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54 33 7691,'-9'3'2,"1"0"-19,-2 1 1,3 1-154,-2-3 0,3 0 474,3-2 1046,2 0-796,5 0 0,5 0-249,8 0 0,1 0-5,2 0 0,5 0-114,5-3 0,5 3-146,5-2 0,6-1 138,6 1 0,5-1 22,10 3 1,7 1-273,9 1 1,-4 0 110,4 2 1,-5-3 28,2 2 1,-5-6 42,2-1 1,-8-2-318,-4-3 0,-5 2 111,-6-2 0,-6 3-662,-3 2 1,-12 1-99,-8 3 1,-5 3 854,-8 1 0,-3 2 0,-2 3 0,-4 1 0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7.75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58 45 7674,'-3'-4'-223,"1"0"1644,1 2-589,-2-1-213,2 3 1,-2 4-208,3 2 1,0 4-111,0 5 1,0 4-171,0 5 0,-2 2 27,-3 1 0,0 3-86,1 5 0,-2-1 81,2 0 1,-1-1-123,1-5 1,-1-3-226,3-3 82,-1-8-236,3-5 1,0-7 185,0-4 1,3-2-232,2-5 0,0-1 148,2-5 0,0-2-6,1-5 1,0-1 121,0-5 1,1 1-15,0-3 1,0 1 93,0-3 0,1 4-27,3-4 0,0 5 153,2 1 1,-1 3 28,3 4 0,-2 6 5,0 4 1,-3 5-27,-1 4 0,0 3 130,-5 1 0,1 4-24,-4 1 0,-1 2 154,-2 0 0,0 1-101,0 1 0,-3 0-67,-1-1 0,-2 3-182,-1 0 1,2 0 103,-1-2 1,1 0 45,-4 0 1,2-1-274,1-1 1,-3-2-406,1-3 1,-1 1 66,0-1 0,2-2-245,-2-2 0,0-1 362,0-1 0,1 0-49,2 0 410,-1-3 0,3 0 198,0-1 87,2-2 1,0 5-100,4-1 0,0 1 108,2 1 1,2 3-55,3 1 0,0 4 94,0 1 0,-2 2-180,4 0 1,0 1-274,2 1 1,-3 0-534,1 2 0,0-1 196,4 1 0,-1-2-38,1 0 1,-2-3-33,-3-1 1,3-3 512,-3-2 0,5-9 0,2-6 0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7.9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58 8686,'6'0'-168,"3"-2"141,-1 0 1,3-1 167,0 1 0,4 0-203,2-2 1,3 2-120,1-2 1,-1 1-109,1-1 1,-2 3-301,-1-1 1,-3 0 313,-5 0 0,2 1 275,-4-1 0,-2 2 0,-3 0 0,-23-9 0,-5-2 0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8.1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7 7668,'0'-4'1912,"0"1"-1728,0 3 1,0 4-126,0 2 0,0 2-27,0 5 0,0-1-129,0 5 1,-1 3-276,-1 1 1,1 3 69,-1 0 0,1 1-254,1 0 0,0-2 151,0-2 1,3-4-321,1-4 725,2 0 0,6-15 0,2 1 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8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52 8080,'3'7'1074,"0"1"1,-3 2 52,0 3 1,0 4-656,0 2 0,-2 1-171,0 3 1,-1 2-257,1 2 0,1-2 62,-1 0 1,-1-3-90,1-1 1,0-3 72,2-1 1,0-3-212,0-2 0,0-4-117,0-4 78,0-2 1,0 0-88,0-4 0,0-2-175,0-5 0,3-2 187,1-4 0,1-2 91,-1-4 0,2-2-213,-2-3 0,2 0 76,0-2 1,2 2-7,0-2 1,0 2 211,3 3 1,-3-2 171,3 1 0,0 5-78,4 2 1,-1 6 128,1 5 0,-2 2-3,0 4 1,-3 1 247,-1 1 1,-2 3 131,-1 3 1,-2 2-192,-2 3 1,-1 0 42,-1 0 0,0 2-130,0 0 0,-1 0-221,-1 0 1,-2-1-72,-2 1 0,-1-2-254,1 0 0,0-2 96,-1-1 0,0-2-96,-1 1 0,0-5-477,0-2 1,0 1 286,-1-1 1,2 0-42,-1-2 0,-1-2 161,0 0 0,3-3 436,1 1 50,1-2 0,0 2 377,2 0-49,2 2 1,2-1-216,3 3 1,1 4 47,3 2 1,-1 1-24,2 4 1,0-2-16,1 1 1,1 1-285,-1 2 0,-1 0-547,0 0 0,0-1 200,1 1 0,0-2-244,-2 0 0,0-3-69,0 3 1,-2-4 232,1-1 1,-1-1 469,-3-3 0,2-2 0,-2 3 0,-1-3 0,0-17 0,-3-4 0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7:49.04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21 7638,'4'0'1184,"-1"0"1,-3 2-420,2 1 0,-1 4-223,1 1 0,-1 4-200,-1 0 1,0 4-55,0 3 0,2 2-207,0 1 1,0-1 116,-2 1 0,0-1-139,0 1 0,0-3 15,0-1 1,1-2-68,1-1-59,-1-4 0,2-7-244,-3 1-53,0-3 0,0-8-135,0-3 1,0-5 198,0 2 1,0-5-111,0-2 1,2-1 43,0-2 0,0 0 54,-2 1 0,2 0 150,0-1 0,3 3 109,0 0 0,0 3-53,-1-1 1,4 5 105,-2 3 0,2 1 442,-1 1 1,0 3-262,1 2 0,-3 2 600,2 2 0,-5 3-327,3 4 1,-4 0 301,1 3 0,-2-1-407,-2 1 1,-1 2-320,-4-3 0,1 0-344,-1 1 1,0-3-1403,-1 1 1701,-2-2 0,-20-8 0,-4 0 0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8:59.9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27 114 7864,'-7'-4'-732,"3"-2"802,-1 2 1,3-1 478,-2-1 0,2 0-219,0-2 1,1 0-132,1 1 1,1 0-143,1-2 0,0 2 57,2-2 1,3 2-141,1 0 0,2 1 123,-1 2 1,-1 1-114,3 3 0,0 0-26,3 0 0,-1 3 83,0 4 1,1 5-91,2 6 1,-2 3 58,1 3 0,-1 1 5,-3 4 1,-2 1 18,-2 1 0,-1 2 0,-2 0 0,-1-2 55,-3 0 1,0-3 15,0 1 1,-3-4-33,-1-1 0,-3-2 8,-2 0 0,1-4 35,-3-3 0,0-4-39,-2-2 0,0-2 130,2-3 0,-1-1-120,1-3 1,0-3-129,0-4 1,2 0 122,-2-4 0,5-3-115,0-1 0,1-3 101,1 2 1,1-1-17,3 1 0,0 1-32,3 1 0,1 0-158,5-1 0,-1 4-563,3 0 0,0 1 129,3 3 0,0 0 572,1 5 0,17 17 0,6 7 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5.4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74 7714,'-6'-1'-433,"1"-1"1,1 0 1114,2-2-526,2-1 0,-3-1-42,3-1 1,0 0 188,0 1-178,0-4 0,0 3-30,0-2 0,0 4 83,3 3 1,-2 1 3,3 1 1,1 4 23,2 3 1,0 3 113,2 6 0,-2 4-128,2 4 1,-1 2 3,1 1 0,-2 2-116,2 2 0,-1 2 108,-2 0 0,1-3-112,0-1 0,-1-4 25,-2-3 0,2-4-149,-2-3 0,0-7 78,1-3 0,-3-4-105,2-1 0,-2-1 32,3-1 1,-3-4-110,3-6 0,-2-1 73,2-2 1,0-3 40,-3-4 0,2-1-288,-1-2 1,1 0 119,-2 3 1,4-2-138,-2 1 0,0 1 68,0 2 1,0 3-364,0 2 1,4 1 55,-1 3 1,1 2-236,-1 5 817,-1 1 0,4 27 0,0 5 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5.9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0 8022,'-2'4'-56,"0"1"1,-1-1-112,3 3 0,0 0 420,0-1 1,0 5 397,0 2 0,3 1-291,-1 4 0,3 2-127,-1 2 1,0 3-257,1 0 0,-2-3 50,2 1 0,0-3-91,-3 0 1,1 0 159,-1-3 0,-1 0-161,1-4 147,-1-3-74,-1 0-247,0-6 0,0-2 32,0-4 1,0-3-5,0-4 1,-2-1 50,0-3 1,-3-4 45,3 0 1,-1-3-4,1 0 0,1 0 9,-1 0 1,1 0 44,1 0 1,0 0-31,0 1 0,0 1 157,0 0 1,1 4-10,1 1 1,2 0 73,2 4 0,1 1-63,0 4 0,-1-2 133,1 4 1,0 0-25,-1 2 1,-1 3 98,-1 1 1,-2 3 28,0 2 1,-1-1-119,-1 3 0,0 0-140,0 0 0,0 1-63,0-1 0,-3 0-272,1 0 1,-2 0-78,1 2 1,-2-2-307,1 0 0,-1-2 180,0 2 493,-1 0 0,-12 6 0,-7 0 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6.2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0 140 6845,'4'4'700,"3"-2"0,3-1-399,6-1 1,4 0 44,4 0 1,9 0-182,4 0 0,6-3-41,6-2 1,-1 0 118,3-2 0,-2-3-114,2-1 1,-4 1-103,0-1 1,-6 0 123,-3-3 1,-3 3-512,0 0 0,-4 3-47,-2-1 1,-1 2-264,-2 3 1,-2 0 268,-2 2 401,-1 1 0,-7-2 0,-2 3 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6.7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14 8112,'-7'-7'-1466,"4"3"2251,0 1 1,3 7-424,3 3 1,1 2-1,5 5 1,-1 2-222,3 2 1,0 4 10,3 2 0,-1 2 98,0 1 0,0 2-65,1-1 0,-2 3 8,-1-2 0,2 2-43,-2-2 1,-1-3 16,-1-4 1,-4-4-44,-1-2 0,-2-8-69,3-1-146,-4-5 1,5 1 52,-4-6 0,1-3-97,-1-5 1,-1-5-71,1-2 1,1-5-56,-1-3 1,0-2 22,-2-3 0,2 1-89,1-1 1,1 2-203,-2 5 1,4-1 527,-2 2 0,14 4 0,3 3 0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7.1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61 87 8051,'-3'-5'-82,"1"1"1,0 0-100,2-3 1,0 0 259,0 1 0,-2-1 193,0 0 0,-1 1-167,3-1 1,-2 0 2,0 1 0,-1 0-50,1 1 1,0 2 181,-2 3-218,2 0 0,-4 1 54,2 1 0,0 3-188,0 4 1,2 1 78,-3 3 0,4 1-74,-1 2 1,1-1 75,1 2 1,0-2-6,0 1 0,0-2 8,0-1 1,0 0 14,0-2 1,3 1-117,1-4 0,2 1 96,1-5 1,-1 1-8,1-3 0,0 3 27,-1-3 0,1 0-2,0-2 0,-1 0 52,1 0 105,0 0 0,-3 0-6,1 0 361,-4 0-389,2 3 0,-4 2-29,-1 4 1,-2-1-147,-2 3 1,-1-2 13,0 2 1,1-2-104,-1 2 0,0-2 15,1 2 0,0-3-626,1 1 319,-1-2 1,4 0-372,-3-1 819,2-2 0,3-1 0,6-24 0,1-4 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7.9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61 8027,'4'-7'-649,"-1"0"727,0 1 26,-3 2 0,4 4 304,-2 4 0,-1 4-80,1 1 1,-1 3-358,-1-1 0,2 2 44,0 0 0,1 0-92,0 1 0,-3-2 124,2-1 0,0 1-140,0-3 0,-1 2 2,1-2 0,1 0-58,-1-2 0,3-3-93,-3 0 0,3-2 140,0 0 0,-2-2 6,2-2 1,-1-2 19,3-2 0,-3-2-2,1-1 1,-2 0 40,2-2 0,0-2 14,-3 2 1,3-2 88,-3 0 1,1 1-59,-1 0 1,-1 3 156,1 2 0,-1 0-29,-1 1 87,0 2-135,0 1 58,0 9 0,0 1-126,0 4 1,0 1-22,3-3 0,-2 2-19,4 0 1,-3 0-137,2 0 1,-2-3 15,3 1 0,-1-2-117,3 0 1,0-3-36,-1-2 0,1 1 68,0-1 1,-2 0 75,1-2 0,-3-3 148,4-1 0,-2-2 0,2-1 0,-1 1 0,-2-1 0,2 0 0,-1-2 0,-2 1 0,-1-3 0,1 2 0,-1-2 0,1 2 0,-1-2 0,-1 2 0,1-2 0,-1 2 112,-1-2 1,0 3 79,0-1 0,0 1 70,0 2 0,0-1 161,0 0 439,0 4-406,3 0 1,-2 3-69,1 3 1,-1 1-65,-1 5 0,0 1-63,0 4 0,0 1-191,2 1 1,-1 2 93,1 0 1,1-1-208,0 1 0,-1-1 5,-2 3 0,2-2-18,0 0 1,1-3 64,-1 0 0,0 0-158,2 0 0,-2-3-48,0-1 1,0-4 23,0-3 0,-2 0-174,3-2 167,-3-1-54,0-4 0,0-2 109,0-6 1,0 0-16,0-2 1,0-1 25,-3 1 1,3-3-3,-2 1 1,-1-3 9,0 3 1,1-1 35,2 3 0,0-1 19,0 1 1,0 0 47,0-1 0,0 1 51,0 0 0,3 2 65,2 0 1,-2 3 198,2 2 0,-1 0 7,3 3 0,-3 1-96,1 2 1,-2 1 36,2 1 0,0 2-8,-3 3 0,0 0 57,-2 2 0,0-1-185,0 3 0,0-2-154,0 2 0,0-2-7,0 2 1,0-3-310,-3 1 1,2-2-479,-3 0 0,2-3-58,0 1-640,-2-1 1522,3 0 0,-16-22 0,-2-8 0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09.5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53 7988,'-3'-3'4,"2"-1"-1,-1 2-598,-2 1 0,2-4 417,-2 3 0,3-1 572,-2 1-301,3 1 1,-1-4-20,-1 2 0,1 0 119,-1 1 0,1 2 6,1-6-29,0 5 3,0-5 5,0 5 7,3-2-85,1 3 1,2 0-11,1 0 1,0 3 78,-1 2 1,-1 1-35,-1 0 0,0 2 9,3 0 1,0 1-24,-1 2 1,1-2 5,0 2 1,-1 0-12,1 2 0,-1 0 2,-2 1 0,2 1-75,-1 1 1,-2 0 66,2 0 0,-3-2-108,3 1 1,-4-1 54,1 0 0,1-1-10,-1 0 0,1 0 5,-3-2 1,0 1-6,0-3 1,0 2-8,0 0 1,0-1-7,0-1 1,0-2-19,0 0 0,0 0 39,0 2 0,0-4-109,0 2 0,-1-2 48,-1-1 1,1 2-27,-1-2 19,-2-1 1,3 2-10,-4-2 0,3 0 27,-3-1 1,3-1-8,-2 1-90,2-1 0,-4-1 86,2 0 0,0 0-110,0 0 1,2-3 44,-3 1 1,3-3-9,-2 0 1,1 0 21,-1 1 0,0-4-3,0 1 1,-1-1 27,2 1 1,-1 0 7,2-2 1,-1 2 70,3-2 1,-2-1-80,0 1 0,0-2 51,2 2 0,0 0-3,0 0 1,1 1 3,1-3 0,1 2-8,1 1 1,2 0-2,-1 2 1,0-1 0,2 0 0,0 1-2,-1-1 0,1 2 3,0 1 0,-3 2-7,1-3-215,-1 4 206,3-5 0,-3 5-501,1-1 148,-4 1 356,2 1 0,0 18 0,1 4 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11.9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10 8037,'-4'4'-1101,"1"-1"1354,3-3 0,1 0-254,1 0 1,2 0-11,3 0 1,-1 0-12,1 0 1,0-2 18,-1-1 0,1 0-85,0 1 1,1 2-218,1-3 0,0 2 305,-2-1 0,14 4 0,4-1 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12.2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16 8037,'-4'0'-1313,"-2"0"1951,5 3-280,-2-2-77,3 2 1,1-3-197,1 0 1,0-1-41,2-1 0,1 0-265,4-2 1,-1 2 103,0-3 0,2 3 116,-1-2 0,23 11 0,5 1 0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4.9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 79 8037,'-3'4'1200,"2"2"1,-2-2-964,3 5 0,0-1-50,0 3 1,0 3 0,0 4 0,0 2-28,0 2 1,0 2-79,0 3 1,-2-1-72,0 1 1,-1-3 22,1 1 0,1-4 59,-1 1 0,1-4-5,1-2 0,-2-2-44,0-1 1,-1-5-177,3-1 67,0-5 1,0-2-167,0-4 1,0-5 75,0-2 0,3-5-633,-1-2 0,0-1 320,-2-1 0,2-2 170,1 0 0,0 0 306,-1 2 0,-1-3-14,4 1 1,-3-2 17,2 2 1,1-1-33,1 1 1,1 0 104,0-2 0,-1 4-68,1 0 1,2 6 126,0 0 1,0 2-68,0 3 1,-1 2 176,1 3 0,-2 2 389,0 0-421,-1 4 0,0 3-4,-1 4 0,0-1-3,-3 3 1,0-2-135,-2 2 1,0 0 88,0 2 0,0 1-208,0-1 0,0 2-43,0 1 1,0-1-48,-3-1 1,0-1 14,-1 0 0,-2 1-113,2-1 1,-2-2 26,-1 0 1,-2-3 87,0 1 0,0-1-119,0-2 1,1-2-26,-1-2 1,1-1 102,-1-1 1,2-1 17,-2-1 1,4-4-6,1-3 0,0 0 75,-1 0 0,2 1 132,3-1 1,0 2-24,0 0 0,0 3 121,0-1 1,1 4 40,1-1 1,2 2-68,3 2 1,-1 4 240,1 3 0,0 3-97,-1-1 0,2 1-103,1 2 0,-1-1-170,3 0 1,-2 1-264,2-1 1,-3-1-50,1 0 0,0-1-286,0-2 0,0 0-132,-2-2 0,0-1-261,-1 1 650,1-3 0,0-1 330,-1-3 0,-2 0 0,2-6 0,-3-2 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5.2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21 7649,'0'-4'1807,"0"1"-1023,0 3 0,0 3-524,0 2 0,0 3-101,0 1 0,0 3 0,0-1 1,0 4-10,0 3 0,0-1-98,0 1 0,0-1 106,0 3 0,0-2-107,0 0 0,0-1-218,0 1 0,0-4 98,0-3 1,0-5-505,0 3 13,0-6-239,0 3 550,0-12 0,0 1-18,0-6 0,0 0 124,0-2 0,0-1-7,0-2 0,0-1 25,0-3 0,1 1 20,1 1 0,-1-1 93,4 1 1,-3 2-6,3 0 0,-3 2 104,2 1 1,1 3 21,1 1 1,0 1 145,-1 2 0,1 2 2,-2 2 0,2 1 108,1 1 1,-3 1-45,0 1 0,-2 2 140,0 5 0,-1-1-34,-1 1 1,0 0-96,0 0 0,-1 2 17,-1-2 0,0 1-309,-2-2 1,0 0-200,-3 1 0,0-2 220,1 0-61,-1-1 0,-6-2 0,-1-1 0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6.4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33 8037,'-7'4'1083,"4"-1"-1092,0-3 0,9 0 96,1 0 0,6 0-91,3 0 1,4 0 50,5 0 1,7 0-47,3 0 0,5 0 61,7 0 0,1 0-145,3 0 0,-2 0 240,0 0 0,-2 0-68,1 0 1,-6 0 185,-3 0 1,0-1-55,-4-1 1,0-1-268,2-1 1,-4-2 56,0 1 1,-1 2-64,-2-2 0,-2 4-117,1-1 0,-5 0-794,-1 0 963,0 1 0,4-2 0,5 3 0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7.4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86 7717,'-4'3'321,"1"-1"90,3 2 1,0 0-197,0 3 0,-1 3-93,-1 4 1,1 2-16,-1 4 1,1 4-3,1 2 1,0 1-98,0 2 0,0-2 85,0 0 0,0-3-120,0 1 1,-1-5-42,-1 0 0,2-6 79,-3-5 84,3-1-63,0-5 0,0-3-125,0-7 1,0-4 118,0-4 1,0-2-171,0-3 0,2-3 87,0-1 1,2-3-34,-1-2 1,2 2 66,-1-2 0,0-1-114,0 2 1,2-1 111,2 2 1,1 2-1,2 3 0,-1 1 38,1 8 1,2 1 95,-2 5 0,1 4-19,-1 0 0,-2 6-47,-2 1 1,0 4 181,-1 1 1,0 3 21,-1-1 0,-2 1-17,0 2 0,-3-1-132,3 0 1,-3 1-13,0-1 0,0 0-123,-3 1 1,2 0 80,-4 1 1,3-3-84,-2 1 0,-1-4 40,-1 0 1,1 0-203,1-2 1,-1 0 66,-1-5 1,-1 1-100,0-3 0,1-1 27,-1-1 0,0-2 108,1-3 1,0-2 40,1 0 0,-1-2 102,2 0 1,0 1-36,0 1 0,2 2 268,0 0 162,1 0-248,1 1 0,0 3-14,0 3 0,3 3-88,2 6 0,1 2 90,0 2 1,1 2-150,0 1 0,0 3-157,2-2 0,-2 2-273,2-2 1,-1 0 196,-2-4 1,3 0-368,0 1 0,-2-4 99,-3-1 1,1-2-44,1 0 0,-1-3 153,-1-2 1,-2-1 117,3-1 0,-3 0 242,2 0 0,-5-12 0,0-3 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7.64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41 7615,'0'-5'1115,"0"1"-312,3 2-675,-2-4 1,5 6 67,-2-3 0,1 2-157,1-1 1,0 1-106,2-1 0,2 0-128,-1 0 0,3 1 244,-1-1 0,1-1 122,-1 1 0,1 0-933,-4 2 1,4 0-338,-4 0 16,1 0 1082,-2 0 0,-9 3 0,-3 0 0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7.8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7493,'0'5'-78,"0"-1"1,0 1 369,0 4 1,0-1-430,0 4 0,0-1 36,0 5 0,0-2-245,0 1 0,3 2 147,-1-2 1,1 1-15,-1-3 0,1-3 213,1-1 0,11-7 0,0-3 0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8.3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49 8561,'0'-4'2079,"0"3"-1641,0 2 0,0 1-93,0 5 0,0-2-116,0 5 0,0 1-124,0 3 0,0 1 49,0 3 1,0 0 0,0 1 0,0-1-47,0 0 0,0 0-125,0 0 1,0-3-338,0-2 0,-2-2 22,0-3-431,-1 0 549,3-4 0,0-3-131,0-2 1,1-6 49,1-3 1,-1-2 133,1-2 0,0 0 42,0-1 1,0-3 6,2-2 0,-2 1 13,3-1 0,-3 1 87,2 1 1,1 0 60,1 0 0,1 2 90,0 3 0,-1 0 100,1 3 0,0 2-6,-1 1 0,1 4 498,0 1-438,2 1 0,-1 2 48,1 1 1,-4 1-53,-1 4 1,-2-2-40,3 2 1,-4 1-208,1 0 0,-1 2-30,-1-2 0,0 0-125,0 0 1,0 0-34,0 3 1,-2-4-168,0 1 0,-3-2 4,3 1 1,-2-2-189,1 2 1,-2-4-631,1-1 734,-2 2 0,-1-4 37,1 2 1,-1-2 173,0-2 0,1 1 38,2-4 0,-2 3 16,2-3 329,1 0 814,0 5-790,3-3 0,0 3 209,0 3 1,3 1-129,1 4 0,2 4-90,1 0 0,-1 1-154,1 0 0,2 1-268,0 0 1,0-2-49,0 3 1,-1-3-294,0-2 1,0 1 101,-1-3 0,-1 0-247,1-2 1,-1-3-167,1 0 857,0-3 0,-1-14 0,1-2 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6:59:58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 7615,'2'0'1901,"0"0"-1270,-1 2 1,-1 0-152,1 2 1,0 1-195,-1 1 1,1 4-58,0 1 1,0 2-68,0 0 0,-1 3-68,1 2 1,0 0-72,-1 3 0,0-5 115,1 4 1,0-4-255,0-1 0,-1 0 65,0 0 0,0-3-626,0-1 248,0-3 6,0-5-350,0 0 525,0-11 1,0 2 21,0-8 1,0 2 123,0-4 0,0 1 71,0-2 0,0 1-96,0-2 0,0 0 19,0 1 0,0-2 236,0 4 0,1-2-62,1 2 0,0 3 27,0-1 1,0 4-77,3 0 0,-1 4 295,0 0 0,-1 4 43,0-1 1,0 2 143,0 2 0,1 2-83,-1 2 1,-1 3 164,0 0 1,-1 1-243,0-2 0,-1 2-138,0 1 0,0 1-172,-1-3 0,0 2 111,-1-2 1,0 0-977,-1 0 1,-2-1 835,1 2 0,-8-9 0,-2-2 0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0.6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54 1 11617,'0'8'103,"0"2"-169,0 0 1,0 5-254,0-2 1,-3 5-198,-2 1 0,-1 1 516,0-1 0,-10 9 0,-2 2 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1.5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66 7744,'0'-4'-160,"0"-1"1,0 1 62,0-2 0,1 0 278,0-1 0,0 2 306,-1 1-35,1 0 1,1-2-207,0 1 1,-1 0-52,1 3 1,0 0-106,0 2 1,1 0 79,0 0 1,1 3-71,0 1 1,-1 3 80,1 2 1,0-1-69,0 3 0,-1-1 8,1 3 0,-1 3 28,-1-1 0,0 2-38,0-2 1,0 1 2,-1 4 1,0-2-84,-1 0 0,0-1 99,0 2 0,0-1-150,0 0 1,-1-1 63,0 1 0,1-2-68,-1-4 1,0-1 63,0 0 0,0 0 3,0 0 0,0-2-8,0-2 1,0 0 24,0 2 0,0-2-12,-1 2 1,1-3 12,0-1 1,0 1-54,-1-2-18,1-1-20,-1 3-7,1-5-14,-1 2-5,0-3 1,1 0 61,0 0 1,0 0-107,-1 0 1,2-1 90,-1-1 0,0 0-24,0-2 1,-1 1 8,1-1 0,0 0-2,0 0 0,1-2-2,-1 2 1,0-2 0,0 0 0,0-1 30,1 1 1,0-2-24,0-1 1,0 1 48,0-3 0,0 2-40,0-2 0,1 2 66,-1-2 1,1 1-45,1-3 0,-1 0 6,2 2 1,0-1-69,-1 0 0,1 1-4,-1 0 0,1 2-462,-1 2 0,1 1 225,-1-1 1,1 1-1672,0 2 1963,-1 1 0,-1 23 0,1 5 0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2.4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79 7721,'-3'-4'264,"1"-1"1,-1 1-71,1-3 1,1 3 289,-1-1 366,1 1-426,1-3-81,0 4-235,0 0 1,0 9 68,0 2 1,3 7-119,-1 3 1,0 5 108,-2 4 0,0 2-236,0 4 1,0 1 38,0-1 1,0-1-97,0 0 1,0-3 30,0-2 1,0-7 48,0-2-38,0-6-40,3-5 52,-2-4 1,2-9 5,0-3 1,-2-4 59,4-2 1,-4-2-10,1-3 0,1-1-11,-1-1 0,3 0-39,-3-2 1,3 0-103,-3-3 1,3 0 81,-1 1 1,2-1-11,1 0 0,0 2 113,-1 3 1,1 1-21,0 5 1,-1 4 205,1 3-247,2 4 1,-1 3 233,1 4 0,-4 2 14,-1 3 1,-2 0 10,0 2 1,1 1-150,-1 4 0,0-3 16,-2 3 0,0-5-41,0 5 1,-2-3-7,0 3 0,-3-1-185,0 0 0,2 0 41,-2-2 0,1 1-143,-3-3 1,3 0 19,-1 0 0,1-4 6,-3 2 1,1-5 186,-1 1 1,0-3-23,1 0 0,1 0 139,1-3 0,0 0-89,0-4 0,-2 0 112,4 1 0,-1-1-4,1 0 274,1 4-217,-2 0 1,6 3-118,2 3 0,-2 3-55,2 5 0,0 3-157,4 1 0,-2 0-230,2 3 1,-1-3 170,1 3 1,-1-1-207,3 1 1,-2 0 95,-1-2 1,2-1-24,-1-1 1,0-3 21,-3 0 0,1-3 343,0 1 0,-4-5 0,3-13 0,-2-5 0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2.8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34 7741,'-3'4'0,"2"-1"615,-1 0 1,1-2-129,1 3 1,0 1 73,0 2 0,0 0-311,0 2 1,1 1-254,1 3 0,-1 1 61,4-1 0,-3 3-192,2-1 1,-1 4 20,1-2 0,-2 0 56,0-2 1,-1-3-46,1-1 1,-1-3 52,1 1-172,-1-1 3,-1-5 202,0 0-24,0-12 0,0 1-85,0-7 0,0-2 7,0 2 1,0-4 58,0 2 0,0-3-9,0 0 1,0 0 26,0 0 1,0 3 5,0 2 0,2 1 41,1 1 0,2 1 23,-1 1-12,2 3 1,1 2-40,-1 3 0,1 3 148,0 0 0,-1 0-15,1 3 0,-2 0-35,-1 4 0,-2 0-82,3 2 0,-4-1-8,1 1 1,-1 0-94,-1 0 1,0 1-204,0-2 0,-3 1 40,-1 2 0,0-3-97,0 1 1,-1 0 366,-2 0 0,-35 12 0,-9 0 0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3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40 53 7775,'-5'0'298,"-1"0"1,0 0-120,1 0 1,-1 0-450,0 0 115,4 0 525,-1 0 1,3 0-48,3 0 0,-1-1-99,4 0 0,3 0-92,0-2 0,2 2 3,3-1 0,0 0-6,3 0 1,3 0 44,3 0 1,0 2-30,3-4 0,3 3-30,4 0 0,5-1-161,4 0 1,1-1 57,1 1 0,-2-1-266,-3 1 0,0-1 7,-2 1 0,-4-1-125,-3 2 0,-5-1 79,-4 0 1,-1 2-58,-3-2 1,-4 2 349,-2 2 0,-6 3 0,0 2 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5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14 7772,'-5'-3'-1139,"1"1"1263,2 0 1,-1 2 1365,1 0-1180,1 0 0,-2 3-137,3 1 1,2 6-81,0 3 0,3 4-1,0 5 0,0 3 211,-1 4 0,2 1-113,-4 3 0,2 3 122,-1-1 1,-1 3-80,1-3-1,-3-1-6,3-5 1,-3-1-55,0-5 0,0-3-103,0-3 1,1-5-5,1-1 1,-1-3 49,1-1 0,1-3-25,0 1 1,-1-4 136,1 2-66,-3-3 0,4 0-25,-2 0 0,0 0 15,2-3 0,-2 0 36,3-4 0,-1 0 7,3-2 0,0-2-166,-1-2 1,1-3 80,0-2 0,0-2-161,2-2 0,-1 0 8,3-2 0,-3 0 8,1-3 1,1 0-15,2-2 1,-2-1-174,1-1 1,-2 2 51,2 5 1,-2-2-48,2 2 1,-3 4-5,1 2 1,-4 4 95,0 3 1,-2 1-610,2 4-285,1-1-340,-6 3 395,6 1 69,-5 3 482,2 0 1,-3 1-146,0 1 0,-1 0 559,-1 2 0,-8 6 0,-4 4 0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6.5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48 7738,'0'-7'-235,"0"0"0,0 3 724,0-1 1,0 3-194,0-2 1,1 0-196,1 0 1,3-2-49,4 4 1,-1 0 0,3 2 1,-2 1 71,2 1 1,0 2 129,2 2 0,-2 6-3,-2 1 1,0 6-87,0 1 1,-1 1 50,-3 3 1,-2 0-63,-3 3 0,0 0-79,0 2 1,-1-2 44,-1-1 1,-2 0-7,-3-3 0,1-1-31,-1-2 0,0-4-98,1-3 1,-1-2 103,0-5 1,1-1-24,-1-1 1,0-3-90,1-1 0,0-3 100,1-4 0,-1-2-176,2-2 1,0-4 53,0-1 0,2-1-69,0 1 0,1-3-20,1 2 0,0 0-242,0 2 1,3 1-407,2 1 1,3-1 306,1 1 0,3 3-357,-1 1 1,4 2 334,0 3 0,4-2 495,-2 4 0,23 9 0,6 4 0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7.1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26 7738,'0'-6'0,"0"1"565,0 1 1,0 1 287,0-1-483,0 3 1,0-2-172,0 6 0,2 1-1,0 5 1,1 2-13,-1 5 0,-1 1 0,1 5 0,1 1-91,-1 3 0,1-3 114,-3 4 0,0-2-183,0 2 0,0-1-45,0 1 1,0-2-88,0-3 1,-3 0 100,1-7 0,0-2-127,2-4 87,0-2 0,0-4 78,0-3 1,0-3-163,0-4 1,0-2 78,0-2 1,0-5-97,0-2 1,0-2 14,0-5 1,2 1-50,0-5 1,4 2 21,-2 0 1,2 0 26,1 1 1,-1 2 155,1 2 1,3 2-106,1 2 1,-1 3 201,1 4 0,0 2-56,2 4 1,-2 2 37,-2 3 0,-2 3 39,0 2 1,-1 1 82,-2 0 0,0 2-50,-2 1 0,-1 0 32,1 2 1,-1 2-198,-1-2 1,-1-1 81,-1 1 1,0 0-241,-2 0 1,2 1 59,-3-4 0,1 1 106,-3-2 0,0-1-237,1-2 0,-1-1-340,0-3 1,2 0 259,-1 0 1,3-3 52,-4-1 1,2-2 348,-2-1 1,3 1-77,-1-1 0,4 3 466,-1-1-234,1 4-98,1-2 0,1 9-285,1 3 0,-1 3-223,4 4 0,-1 1 98,3 3 0,0 3-100,-1 1 0,1-1-377,-1-1 0,1-1 242,0-1 0,-3-3 483,1 1 0,2-3 0,3 1 0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7.5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14 9450,'0'7'1189,"0"-1"1,0 1-775,0 0 0,0 2-168,0 2 1,0 4-132,0 1 0,0 1-133,3-1 1,-3 2-63,3 0 1,-3-2-285,0 0 0,0-2 217,0-1 1,0-2-266,0-3 156,0 0 1,0-4 116,-3-2 0,3-2-70,-3-2 1,3-4-23,0-3 0,0-5-2,0 0 1,0-3 87,0-1 1,0 1 35,3-1 1,-2 1 2,3-1 0,-1 1 118,1 2 0,1 2 78,1-1 0,1 2-36,0 3 1,0 0 229,2 2 0,-2 4-112,2 0 0,-2 3 34,0 0 0,-2 3-75,-1 1 1,-3 4 170,2 1 1,-3 3-115,0-1 1,0 1-45,0 2 1,0-3-596,-3 0 0,1-2 237,-3 2 1,-1-4-840,2 1 1,-2-5 1051,-1 2 0,-2-15 0,-2-5 0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7.8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17 9623,'-4'0'2440,"1"0"-2530,3 0 0,3-3 235,1 1 0,2 0 58,1 2 1,0-1-899,2-1 1,-1 1 423,3-1 1,-2 1-2180,2 1 2450,-2-3 0,12 6 0,0-3 0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08.0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7 7679,'-3'5'1279,"-1"-1"247,1-2 1,-2 1-135,3 0-741,-1-3 0,6 3-601,2-3 0,4-2-50,2 0 0,43-9 0,11 0 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17.76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 83 7715,'0'-5'4,"0"1"-114,0 2-11,-2-3 1,2 4 212,-1-4 1,0 3 422,1-2-133,0 2 198,0-4-103,0 6-308,2-6 1,-2 6 31,3-1 1,-2 2-3,2 2 0,-2 6-9,1 2 1,-1 4-59,2 3 0,-1 1-14,0 1 1,2 2-20,-2 4 0,1-1-14,1 3 1,-2-1-115,1-1 0,-1-1 87,2-4 1,-1-1-85,-1-2 1,2-4 54,-1-3 13,0-4 0,0-3 3,1-2 1,0-5-7,-1-4 1,1-2-4,0-7 1,0 1 1,1-7 0,0-3-201,1-4 1,1-3 62,-3 0 1,2-2-530,-1-3 1,-2 4 270,1-2 0,0 6-1340,-2 4 1698,0 6 0,-2 11 0,-3 6 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18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93 67 7706,'-3'-4'149,"1"-2"1,1 4-65,1-3 1,0 2-94,0-1 0,-1-1 425,-1 1 651,1-3-668,-2 2-521,3-1 318,0-2-94,-3 3 1,2 2-153,-4 3 1,3 0-33,-2 0 1,-1 3-30,-1 3 1,1 1 91,1-1 1,-1 2-128,-1-1 1,0 3 87,1 0 0,-1 2 22,2-1 0,0 1-37,0-2 1,2 0-64,0-2 0,1-1-42,1 0 0,0 1 46,0-1 89,0 1 0,3-1-18,2-3 101,1-1 1,0 1-56,1-2 0,0 0 22,-1-2 1,1 1 136,0 2 1,-1-2-73,1 1 1,0-1 99,2-1 0,-4 2-28,2 1 1,-3 0 32,1-1 0,0 0-76,-3 3 0,3-3 3,-3 4 1,0-4-69,-2 2 0,-1 2-133,-1 2 1,1-1-7,-4 1 0,1-1 77,-3 0 0,-2 1-343,0-1 0,0-2-17,3 0 1,-1-1-127,1 1 1,-1 1 117,0-3 0,3-1-274,-1-2 667,4 0 0,1-14 0,4-2 0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19.7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20 7706,'3'-3'0,"-3"-3"-486,3 1 624,0 2 1,-1 0 1347,2 3-1245,-2 0 0,1 1-140,0 1 0,-3 3-125,3 4 0,-3 1 82,0 3 0,1 0 116,1-2 0,-1 2-70,1-2 0,-1-1-98,-1 1 0,1 0-1,1 0 1,-1-2-111,1-2 0,2-1 125,0-2 0,0 1-117,0-2 0,1-1 49,1-2 0,1 0-143,0 0 1,-1-3 4,1-2 0,-1-3 79,1-1 1,0-2 57,-1 2 0,0-2 31,-1 2 1,0-2 92,-3 3 1,3-4-46,-3 4 1,2-1 281,-1 2-142,-1 0-107,-2 4 47,0 0-59,0 9 0,0 1-179,0 6 1,0-2 2,0 1 0,0-4-111,0 3 1,0-2 63,3 2 1,-2-2-133,4-1 0,-1-1-19,3-2 0,-1 0 137,1-3 1,0 2-27,-1-1 1,1-2 30,0-3 1,-1-2 103,1-2 0,0-1 82,-1 0 0,1-2-63,0 0 1,-3-2 88,0 0 0,0 0 9,1 0 0,0 2 304,-3-2 0,2 2-150,-1-2 0,-1 5 120,-2 0 0,2 3 123,0-2 139,1 4 1,-3 1-121,0 7 0,0 3-47,0 3 0,0 1-200,2 2 0,-1 1-43,1 6 1,0-3-45,0 2 0,0 2-125,2 1 0,-2-3-5,3 1 0,-2-3-136,2 0 1,0-2 41,-3 0 0,3-6 42,-3-1 0,1-4-230,-1-2 94,-1-2 167,2-3 0,-3-3 31,0-2 1,0-2 9,0-1 0,0-2-10,0-1 1,0-2 1,0 2 0,0-4 1,0 0 0,-1-3-80,-1 3 1,1-4-148,-1 1 0,1 1 91,1 0 1,0-1-105,0-2 1,0 3 297,0 1 0,1 2-97,1 1 0,2 3 269,2 1 0,1 2-74,0 3 1,-1 1 191,1 3 0,0 0-120,-1 0 0,1 0 216,0 0 0,-1 3-88,1 1 1,-3 2 0,1 1 1,-4-1-19,2 1 0,-3 0 11,0 2 0,0-1-400,-3 1 0,0 0 100,-4 0 1,1 1-943,2-1 0,-3-2-163,0 2 0,1-2 1050,-3 0 0,-5-3 0,0-2 0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21.1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168 38 7700,'0'-3'-888,"0"0"1011,0 0-15,0 2 1,0-2 425,0 1-405,0 1 0,0-1 302,0-2 81,0 4-169,0-5 129,0 4-16,0-5-13,0 5-215,-3-2 0,-1 5 10,-2 1 1,-1 5 57,0 7 0,-2 4-52,-2 7 1,-4 5-53,-2 11 1,0 7 11,1 9 1,1 6-100,1 8 0,2-4-2,3-1 0,4-5-82,5-7 1,0-4-153,3-4 0,3-9-349,5-3 1,3-10-646,1-6 1,2-5 467,3-1 0,1-3 657,-1-7 0,15-12 0,3-5 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23.2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27 7259,'-2'-4'650,"0"-1"39,0 4-245,2-5-191,0 5-14,0-5 414,0 6-212,0-3-75,0 9 1,0-1-44,0 6 0,0 1-39,0 3 1,0 2-71,0 3 0,0 0 0,0 0 0,2 0-161,0 0 0,0 2 100,-2 0 0,0-2-116,0-5 0,0-1-245,0 0 0,0-4-1728,0-1 925,0-2-1153,0-3 2164,3-1 0,1-21 0,3-4 0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29.28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44 7682,'5'0'-1583,"0"-1"1670,-4 1 1,4-4 32,-3 2-12,-1 1 1,4-3 313,-3 2-226,-1 1 1,2-4-61,1 3 0,-4-1 214,2 1 1,-1 0 353,-1-1-317,0 1 0,0-1 310,0 1 24,0 1-414,0-2 0,-1 4-103,-1 1 1,-2 4 68,0 5 0,-3 5-101,3 2 1,-3 4-64,3 6 0,-3 4-93,3 7 0,0 0-275,1 0 0,3 0 240,0-4 0,6-3-471,0-5 0,7-4 490,3-6 0,25-19 0,8-9 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0.2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27 7682,'-1'-3'745,"-1"0"1,1 2-16,-1-1-403,1 1 1,0-2 118,-1 3-248,1 0 1,-2 1-1,3 1 1,0 5-37,0 4 1,0 1 40,0 2 0,0 2-230,0 2 1,0 1 43,0 1 0,0 3-164,0 1 1,-2-1 13,0-1 0,0-1 28,2-1 1,0-4 76,0-2 1,0-4-161,0-3-171,0-4 100,0 0 214,0-9 1,2 2-1,0-5 0,0-1 9,-2-1 0,2-2-13,1 0 1,0-1-134,-1-2 0,-1-1 25,1-3 0,1 2-82,-1 1 0,2 0 146,-1-1 1,2-1-26,-1 1 1,1 2 148,0 0 1,1 4-95,-2 1 0,2 3 69,1-1 1,-1 5 290,1 1 1,0 3 11,-1 0 1,1 0-76,0 3 1,-1 0 25,1 4 0,-3 0-52,1-1 0,-4 2 6,2 1 1,-2-1-143,1 3 1,-1-2 68,1 2 0,-1-2-81,-1 2 1,-2-1-154,0 1 1,-1 0-268,0-3 1,0 0-271,-4 1-219,0-2 592,-2 0 1,-1-4-33,-1 0 0,1-3 55,4 0 1,-1-2 1,0 0 0,1-3 444,-1 0 1,1-1-15,2 0 0,-1 1 437,2 1-358,1 2-129,2-1 1,2 5-71,1 2 0,4 2-141,0 5 0,3 0-38,-1 2 1,3 1-239,-1 2 0,1-2-220,2 1 1,-1-1 191,0 0 0,1-2-37,-1-1 0,-2-1-98,0-3 502,-3-1 0,2-11 0,-3-3 0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0.4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 8255,'4'0'1352,"0"0"0,1 0-923,1 0 1,2 0-680,1 0 1,1 0 138,3 0 1,3-2-321,-1-1 0,1 1-93,-3 2 1,1 0-355,-1 0 1,-2 0 437,0 0 0,-3 0 99,1 0 0,-4 0 341,0 0 0,-13 6 0,0 1 0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0.61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1 7662,'-3'0'1602,"-3"3"1,5-1-1354,-1 4 1,-1 0-50,1 0 1,-1 2-169,3 2 0,0 1 68,0 3 0,0-1-912,0 2 0,0 0 159,0 0 0,1 2-118,1-4 0,0-2 277,2-1 0,-2-3-198,3-1 692,-1-4 0,9-15 0,1-2 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1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41 9809,'4'7'1480,"-2"2"0,-1 2-1221,-1 5 1,1 3-148,1 3 0,-1 4-132,1 1 1,-1-3-46,-1 3 1,0-5 117,0 0 0,0-1-208,0-1 0,0-6-11,0 0 1,0-5-375,0-1 224,0-3 151,0-2 0,0-4-131,3-1 1,-3-3 43,3-3 1,-3-4-15,0-3 0,0-1 73,0-4 1,1 2 11,1-4 1,-1 1 81,1 1 0,2 0 120,0 0 1,0-2-53,1 0 1,0 0 161,4 5 1,-2-2-58,2 4 1,1 0 60,1 4 0,1 1 222,-1 3 0,1 4-154,-3 0 1,1 3 122,-2 0 1,-2 0-43,0 3 0,-1 0 4,-1 4 0,-1 0-123,-3 2 1,2-1-41,1 1 1,-1 0-11,-2 0 0,-1 2-104,-1-2 0,0 2-277,-2-2 1,2 1 163,-3-1 0,2-2-424,-2 2 1,-1-3 227,2-1 1,-2 0-274,-1-3 0,-2 0 206,0-2 1,1 0 143,1 0 1,-2 0 163,0 0 0,0 0 268,3-2 1,1-1 87,1-2 195,2 2 661,-1 3-754,3 0 1,1 5-84,1 2 0,2 4-178,3 0 0,2 4-308,-1 1 0,2 0-29,-1-1 1,-1-1-345,3 2 1,-2-2 298,2-1 0,-3-2 30,1 0 0,1-2-812,-1-1 0,2-1 358,-2-2 1,-1-2-82,-1-3 747,0 0 0,-4-12 0,0-3 0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1.5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0 7629,'0'7'863,"0"-2"108,0-1 1,0 0 97,0 3 0,-1 0-506,-1-1 0,1 4-482,-1 1 1,1 2-149,1 0 1,0 1-239,0 2 0,2 1 214,0 3 0,3 0 10,-3-1 0,3-1 40,-3 0 1,2-3-137,-2 0 1,1-4-184,0-2-17,-3-4 82,3-2 247,-3-3 1,0-5-93,0-2 1,0-5 3,0-1 0,0-1-90,0-4 0,0 2 107,0-1 0,0 1-18,0-2 0,0 3 108,0-3 0,0 3-91,0 0 1,2 3 198,1 1 1,2 3-42,-1-1 0,2 1 279,1 2 1,-2 1 32,2 1 1,-4 2 175,3 0 0,0 4-107,0 0 1,-1 3 209,-1-1 1,-2 5-251,0-1 1,-2 2-17,0-1 1,0 1-307,0 4 1,0-3 93,-2 0 0,-2-3-743,-3 1 1,1-1-287,-1 1 0,0-4-1909,1 2 2787,-1-5 0,-20-8 0,-6-5 0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4.1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 7635,'0'-3'1619,"0"0"-1380,0 3 1,3 0-93,1 0 0,2 1 0,1 1 0,0 1 29,2 4 1,0 3 0,3 1 0,-1 2 124,-2 3 1,2-1-111,-2 5 1,0-1 111,-2 6 0,-1 0-91,-2 4 1,-1-2-124,-3 2 1,-1-1-76,-1 1 0,-2-5-248,-2 1 0,1-4-86,1-1 1,-1-3-1032,-1-1 852,-1-5 224,0-5 1,3-3 274,0-6 0,2-24 0,-1-9 0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34.4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 7635,'5'0'397,"-1"0"1,-1 0 24,1 0 0,0 0 409,3 0 1,0 0-568,-1 0 0,2 0-66,1 0 0,-1 0-263,3 0 0,-2 0 92,2 0 0,-2-1-435,2-1 1,-3 1 138,1-1 269,-2 1 0,-3 4 0,-1 1 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1.64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27 7650,'0'-4'134,"0"0"245,0 2 1,0-2 287,0 2-454,0 1 0,0-2 122,0 0-5,0 3 60,0-3-186,3 3 1,-2 1-60,1 1 0,-1 2 36,-1 5 0,0 1-97,0 4 0,1 0 39,1 1 0,-1 2-105,1 3 1,-1 1 70,-1 1 1,0-1-142,0 1 0,0-1 122,0-1 0,0-3-107,0 1 1,0-4-128,0 0 1,0-2 52,0-3 0,0-2-264,0-3 0,0-2-538,0 3 202,0-4 1,1 2-331,1-3 362,-2-3 1,3 0 678,-3-4 0,3-17 0,1-5 0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3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54 20 7861,'0'-4'937,"0"1"-509,0 0-105,0 2 212,0-2-311,0 1 1,-1 1 106,-1-1 0,1 2-132,-1 2 0,-2 0 7,0 5 0,0 2-33,0 6 0,-1 3 0,-1 4 0,-1 2-475,0 5 0,4 5 228,0 3 0,3 0-844,0 1 1,1-4 361,4-1 1,3-8-1048,7-8 1603,2-2 0,15-16 0,3-4 0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3.90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73 10875,'-4'0'330,"2"3"0,1-2-169,1 4 0,-2 2-192,0 4 0,-1 2 50,0 0 1,2 3 115,-4 2 0,3 2-47,-2 2 0,2-1-155,-3 1 0,4-3 50,-2-2 0,0-2-142,1 1 1,0-5 45,2-2-152,0-2-59,0-3 158,0-1 108,0-9 1,1 1 8,1-7 0,-1 1-2,4-2 0,-3-1 8,3-2 1,-1-1 2,3-3 1,-3 1-34,1-1 1,-1 0 1,3 0 1,0 0 35,2 0 1,-2 0-11,2 3 0,-1 0 124,1 4 1,-1 1-74,3 0 0,-2 4 142,-1 3 0,1 0-37,-1 3 0,0 0-72,1 4 0,-3 0 48,-1 2 1,1 2 124,-2 2 1,-1 0 97,-1 1 1,1-2-74,0 0 0,-1 2-201,-2 0 0,0 0 18,0 0 1,0-2-112,0 2 0,-1-1 26,-1-2 0,0 2-371,-2 1 266,-1-2 1,-1 3-60,-1-4 1,0-1-200,1-1 0,-1-2 151,0 0 1,1-1-41,-1-1 1,1 0 75,-1 0 1,0-3 146,1-2 0,-1-1-103,0 0 1,1-1 12,-1 0 0,2 1 906,1-1-338,3 0 454,-2 1-533,3 2 0,0 2 34,0 4 0,3 5-119,1 4 0,0 1 36,0 2 0,1 2-237,1 2 1,1 2-244,0 2 1,-3-1-384,0 1 0,0-5 306,1-1 1,0-1-144,0 0 0,0-4 113,0 0 0,0-3-444,0-4 0,0 0 212,-1-2 1,2-1 64,-1 1 1,0-4 260,-1-2 1,2-2 202,-1-1 0,1-17 0,0-5 0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4.3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24 7634,'4'-4'358,"1"0"113,-4 2 0,3 1 277,-2 2 1,-1 1-288,1 5 0,-1-3-52,-1 4 0,2 1-205,0 2 1,1 0-53,-3 0 0,0 2-13,0-1 1,2 2-1,0-1 1,0 2-35,-2-1 0,0-1-141,0 1 0,0-1-359,0 1 1,0-3 214,0 0 1,0-3-638,0 1 208,0-3-32,0-3 233,0 0 275,0-8 0,0-2 154,0-5 0,0 0-38,0 1 1,0-2-9,0 1 1,0-2 149,0 0 1,0-2-52,0 3 1,0-3-70,0 1 0,1 2 7,1 0 1,0 2 22,2-1 1,-2 0-4,3 2 1,-1 2 8,3 2 0,-3 1 10,1 1 0,-1 0 149,3 3 0,0 0-37,-1-1 0,1 2 176,-1 2 1,-1-1-57,-1 3 0,-2 0 140,0 2 0,1 0-89,-1 0 0,0 2-83,-2 0 1,0 2-382,0-2 0,-3 2 148,-1-2 0,0 1-253,0-2 1,0 0-263,0 1 1,-2-2-535,1 1 0,0-2 588,-2 1 0,2-2-1258,1-2 1701,0-1 0,-6-15 0,0-3 0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4.65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 0 7620,'3'0'807,"3"0"0,-3 1-605,2 1 1,1-1-20,-2 1 0,1 2 91,0 0 1,0 2-10,0 1 1,1 0 84,1 2 0,-1 1-43,1 4 1,-3 0 172,1 1 0,-4 2-67,1 3 0,-1 3-167,-1-1 0,0 1-291,0-1 1,-3-1 95,-1 4 0,-3-4 143,-2 1 0,1-3 98,-3-1-292,3-4 0,-25 3 0,-4-4 0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7.5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 47 7656,'0'-4'830,"0"-1"-462,0 4 1,0-5-115,-3 5 129,3-5-192,-3 6 0,3 0-4,0 4 1,0 3-2,0 2 1,0 2-93,0 4 1,0 5 112,0 5 0,0 1-115,0 3 0,-3 1 78,1 4 0,-2-3-2,1 3 0,1-5-14,-1 2 1,3-6-212,-3-3 1,3-4-185,0-3-121,0-4 288,0-4 1,2-5 60,0-4 0,2-2-239,-1-5 1,2-2 84,-1-2 0,1 0 163,0-1 0,1-2-23,-2-2 1,0-1 61,0-1 0,0-3-40,1-1 0,0 0 9,0 0 1,-1 0-18,0 0 1,0-2 1,3 1 1,2 1 1,0 2 1,0 0-1,0 7 1,-1 0 12,4 4 1,-4 2-7,1 5 0,0 1 1,0 3 0,1 3 15,-1 1 1,-2 3 4,2 2 1,-4-1 32,-1 3 0,0-2 7,1 2 0,-2-1-20,0 1 1,-3 2-18,2-2 0,-1 2-16,-1 0 0,-1 0-11,-1 0 1,1-1-88,-4-1 0,1-2-5,-3 2 1,1-4-186,-1 0 1,0-1 101,-2-4 0,1 0-56,-4-2 1,4 0 190,-1 0 1,0-3-77,0-1 1,-1-3 122,1-2 0,2 1-43,-2-3 0,2 2 140,0-2 1,3 3 66,-1-1 141,4 1-89,-2 5-92,3 0 1,3 7 17,1 2 0,2 4-53,1 3 0,0 3-145,2 2 0,-2 1 21,2 1 0,1 0-85,-1 0 0,0 0-19,0 0 1,-1-4-232,4-2 1,-4-2 51,1-3 0,-2 0-700,0-2-113,-1-1 834,1-2 0,-1-2 295,-2-4 0,-1-7 0,-3-6 0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7.71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7 8342,'6'0'204,"-2"3"1,2-3-22,-1 3 1,1-3 252,3 0 1,-1 0-527,3 0 0,1 0 35,4 0 1,-2-2-455,1 0 0,-1 0 107,0 2 1,-2 0-58,-1 0 1,0 0-155,-3 0 613,0 0 0,1 0 0,-17-3 0,-3-1 0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7.8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0 7655,'-4'0'414,"0"0"57,2 0 14,1 0 0,-2 3-315,3 2 1,0 3 29,0 4 0,0 1-482,0 2 0,0 2-56,0 3 1,0 0-240,0 0 1,0-2 211,0 0 0,1-3 365,1 0 0,8-10 0,4-3 0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8.8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80 7652,'3'-3'1616,"-3"0"1,3 3-966,-3 3 0,0 1-309,0 5 1,1 2-112,1 4 0,-1 2-139,1 3 0,-1 1 72,-1 1 0,0 0-179,0 2 0,-1-2 1,-1 0 0,1-2-49,-1-2 0,1-2-115,1-3 1,0-3-553,0-1-212,0-4 652,0-2 0,0-8-28,0-2 1,2-4 32,1 0 0,0-3 221,-1-1 0,-1-4-100,1-4 1,1 1 120,-1-1 1,2 2-32,-1-4 1,2 3-13,-1-2 0,2 2 72,1 0 1,2 2 150,0 3 1,2 0 260,1 4 0,-2 3-226,1 1 0,-1 4 308,1 3 1,0 1-104,-2 1 1,-3 3 20,1 2 1,-1 1-126,-4 0 1,3 2-86,-3 1 0,0-2-20,-2 2 1,0 1-100,0 1 1,-1 2-226,-1 0 1,1-2-54,-4 0 1,1 0-177,0 0 0,-2 1 202,2-3 1,-5 1-319,1-3 1,-1 1 82,2-4 0,-2 0-53,0 0 0,0-2 254,0 0 0,1-1 6,0-1 1,0-1 154,2-1 1,0 0-96,1-2 0,1 2 821,2 0-368,2-2 1,-3 4 56,3 0 0,3 2-170,1 5 1,2-2 21,1 7 0,-1-1-194,1 2 0,2 0-234,0 1 1,2-1-32,-2 0 0,0 0 106,0-2 1,-1 1-441,3-3 1,-3 2 80,1-2 1,-1-1-591,-2-4 806,4 2 1,-3-5 284,2 1 0,-2-4 0,-3-3 0,1-3 0,-2-1 0,1-3 0,-2 1 0,3-1 0,-3-1 0,1-1 0,-1 1 0,-1 0 55,1 2 0,1 2 513,-1 2 412,1 0-91,0 4 1,-3 0-295,2 6 0,0 3-15,0 5 0,-1 2-166,1 0 1,-1 4-253,-1 0 1,0 0-200,0 1 0,0-2 100,0 1 0,-2 0-87,-1 1 0,1-2-43,2-2 0,-1-3-355,-1 0 1,2-5-823,-3 0 469,3-3 418,0 0 0,-3-7 125,1-3 1,0 0 221,2-4 0,0-1-62,0-4 1,0 2 168,0-1 1,0-1-39,0 0 0,0 0-78,0 0 1,0 2 39,0-1 0,3 1 123,1 0 1,2 2 79,1 1 1,0-1 16,2 3 0,-1 1 72,3 3 0,-2 0-117,2 3 1,-2 0 84,2 2 1,-3 0-159,1 0 1,-4 3-107,0 1 1,-4 2-49,2 1 1,-3 2 51,0 2 0,0 0-607,-3 3 1,0-5-29,-4 5 1,0-3-275,1 0 1,-1 1 243,0-3 644,1-1 0,-13-10 0,-2-2 0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9.0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 1 7617,'4'0'0,"0"0"0,0 0 0,-1 1 0,0 1 0,1-1 1028,0 4 0,0 0-125,-1 3 1,0 0-402,0 3 0,1-1-169,-2 5 0,0 1-277,-1 3 0,-1 4-45,0 0 1,-1 4-126,-1 1 0,-1 2-292,0 0 1,0-2-665,-1-1 1,0-4 278,0-1 791,-1-6 0,-16 6 0,-3-3 0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49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239 21 7671,'-7'0'1,"0"-2"-2,-2-1 0,1-1 0,-3 2 1,2-2 327,-2 1 1,2 3 498,-2-2 0,0 4-331,-3 6 0,1 3-158,0 5 1,0 7-53,-1 4 0,1 9-81,0 4 0,-1 8-75,1 4 1,3 4-162,1 3 0,4-4-294,3-1 1,9-10-149,6-6 1,7-8 473,9-7 0,49-23 0,14-6 0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50.1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6 7687,'4'-4'308,"1"3"1,-3 0 293,2 1 0,1 0-363,2 0 0,0 0-74,2 0 1,-1 0-47,3 0 1,-1 0-2,1 0 0,1 1-8,-3 0 0,0 1 8,-2 1 0,-1 1 6,-2 1 1,1 1-61,-3-1 1,1 1-101,-3 0 0,-1 1-26,-1 0 0,0 1 99,-2-1 1,-1-1 43,-4 1 0,3 1 12,-3-2 1,5 0 61,-2-3 0,0 1-98,0 1 0,1-1 19,1-3 1,2 2 910,0-1 12,1-2-668,1 3 1,1-3-97,1 0 0,4 0-397,3 0 1,3 0-343,-1 0 1,2 0-654,3 0 0,-1 0 562,3 0 595,-1 0 0,30-3 0,6 1 0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50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207 26 7623,'0'-3'98,"0"-3"1,0 4-551,0-1 1,1 1 505,1 0 1,2-1 570,2 1 0,2 0-245,1 2 1,-1 0-144,3 0 1,1 1-79,3 4 0,1 1 6,2 7 1,1 6 137,-1 2 0,1 6-75,1 8 0,-3 4-18,-1 10 1,-6 2 18,-3 6 1,-3 4 147,-4 0 1,-1-1 34,-1 0 0,-3-3-114,-4-2 1,-2-2-412,-4-2 0,-3-3 111,-4-3 0,-2-5-7,-3-1 0,0-2 13,-2-1 1,2-3-150,-2-2 1,2-3-5,3-2 0,0-3-95,2 1 0,2-8-605,0 2 1,2-5 371,4-2 0,0-5-1078,5-1 1555,4-4 0,2-15 0,3-7 0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55.9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28 7835,'-4'4'790,"1"2"-994,3-5 0,0 2 604,3-3 0,1-1-156,3-1 0,3 1-551,2-4 0,1 0-67,1-2 1,0 2-175,0 1 1,0 1 197,-3-1 0,3 2 350,-2 0 0,-9 10 0,0 4 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56.0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0 7835,'-5'7'8,"1"0"0,2-2-321,0 0 790,1-4 1,2 2-113,1-3-365,5 0 0,35-9 0,12-3 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0:59.7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47 7774,'0'-7'0,"0"1"0,-1 1-78,-1 1 1,0-1-455,2-2 1035,0 1 1,1 2-196,0 1 0,2 4 19,3 4 1,0 2-91,0 7 0,1 5-102,2 4 1,-2 6 38,2 3 1,-3 1 115,2 0 1,-2 5-9,-1 0 1,0-1-86,0-1 0,-2-5 106,1-4 1,-2-7 117,-1-6-421,2-4 0,-1-6 125,1-1 1,-1-6-119,1-1 1,1-6 28,1-4 0,0 0-300,-2-7 0,2 1-144,-1-5 1,0 0-316,1-2 1,1 1 84,0 1 0,-3 0-295,1 2 1,-1-2 932,5 2 0,5-2 0,3 0 0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00.1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64 1 7737,'-4'1'721,"2"1"1,0-1-951,0 1 361,1-1 0,-3-1 107,2 0 1,1 1-287,-1 1 1,0-1 81,0 1 1,0-1-38,-3-1 1,3 2 88,-3 1 0,3 1-74,-3-1 1,3 2-86,-3-3 1,3 3-19,-3 0 104,4 1 1,-3 1 15,4 0 1,0 1-180,0-1 0,0 0 33,0 0 1,1 0-21,2 0 1,1 0 69,3 0 0,-1-2 32,-1-1 0,1 0 39,-1 1 1,1 0 101,1-2 1,-2 1 101,-1-1 1,-1 2 109,1-3-5,-2 3-189,1-1 1,-3 3-210,0 0 0,-2 0 131,-1 1 1,-2-4-453,0 1 1,-1-1 10,-1 1 1,0 0-162,0-3 1,0 3 140,0-3 0,2 1-318,0-3 732,4 0 0,1-16 0,4-3 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00.88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8649,'0'7'479,"2"1"-474,0 1 0,1 0 13,-3 3 1,0 0 22,0 2 1,2 0 2,1 0 1,0 0-84,-1 0 1,0-2 69,2 0 1,-1-4-142,1 2 1,1-5-81,2 0 1,-2-4 56,0 2 1,2-6 96,2-1 1,1-3-31,0-3 0,-3 2-147,3-4 0,-2 0 90,2-2 0,-2 0-61,1 0 0,-3 0 143,-2 3 0,1-2 10,2 4 1,-3-1 168,-2 3-153,-1 3 289,-1 1-142,0 9 1,0 0-78,0 6 0,1-3-77,1 3 0,-1-1-94,1 1 0,0-2 44,0-3 0,0 1-149,3 1 1,-3-3 25,3 1 1,-1-4 72,0 1 1,3-2-76,-3 0 1,3-2 196,0-2 0,0-3 0,0-4 0,0 0 0,0-2 0,-3 0 0,1-1 0,-1-2 0,1 3 0,0 0 0,-2-1 0,1 3 352,-1 0-4,-1 1 290,1 4-399,-2 1 0,2 9 440,-3 4 0,1 3-123,1 4 0,-1 1-66,1 3 1,-1 0-145,-1 0 1,0 3-6,0-1 0,0 1-271,0-3 1,0-1 91,0-1 1,0 1-208,0-4 1,1 0 22,1-5 0,-1 0 0,2-7-257,-3 1 3,0-3 0,0 0 69,0-4 0,0-2-77,0-3 1,0-4 93,0 0 1,0-3 51,0 0 0,0-1-99,0-1 0,0 0 88,0-3 0,0 3-113,0-3 0,0 3 88,0-3 1,0 2 36,0-1 0,3 2 54,2-1 0,0 3 111,2-1 0,-2 4-50,5 2 1,-2 1 185,2 1 0,-2 2 224,1 1 0,-1 2-182,-1 0 0,0 4 417,0 3 1,-2 0-44,-1 2 1,-2-2 140,0 5 0,-1 0-326,-1-1 1,-1 4-128,-1-2 1,-2 0-316,-3 1 0,0-3 102,0 0 0,0 0-967,0 0 1,0-3 211,0 1 700,0-2 0,-13-7 0,-3-3 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1.64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5 149 7629,'-1'-4'6,"-1"-1"-166,1 1 0,1-3 215,0 0 0,0 2 350,0 1 0,0 0-149,0-3 0,0 1-125,0-1 0,0 2 105,0 0 0,0 1 123,2 0 230,-1-3-286,0 7 0,0-3 39,0 3 1,0 6-134,0 3 0,-1 5-1,0 1 1,0 3-70,0 4 0,0 3-91,0 2 0,0 0-15,0 1 1,0-3 76,0 0 1,0 0-242,0-6 1,0 2 15,0-1 1,0-6-48,0-2 1,0-5-56,0 1 168,0-5 1,1 1 3,0-4 1,0-4 3,0 0 0,0-6 58,1 0 1,-2-3-23,1-1 0,1-2-53,0-3 1,-1-2-26,-1-2 0,2-2-127,-1 3 1,2-2 54,-2 2 1,2-2-87,-2-2 0,2 3 44,1-3 0,-1 6 16,0-1 1,1 3 201,-2 0 0,2 6-102,1 1 1,-1 5 176,0 4 1,1 1 7,-1 1 1,-1 3 3,-1 2 0,1 1-46,0 0 1,0 4 134,0-2 0,-1 4-73,-1-3 1,2 2-29,-2-2 0,0 3-93,-1-4 0,0 3 51,0-1 1,0 1-118,0-2 1,0 3 90,0-3 0,-1 3-141,0-4 1,1 1 18,-3-2 1,-1 0-98,0 0 1,0-1-85,0-2 0,0 1 49,0-2 0,-1-1 123,1-2 1,0-1-151,-1-1 278,1-2 0,0-2 34,-1-1 1,3 0 122,-1 0 1,1 2 92,2 0 128,-1 4 110,1-2 1,1 6-199,3 4 1,0 4 317,2 3 0,0 0-213,3 2 1,1-3-281,0 3 1,0-1 27,0-1 0,1-3-693,-1 0 0,1-3 194,0-2 331,-2 1 0,1-6 0,-1 2 0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3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43 64 7660,'-5'0'322,"1"0"1,0 0-1,-2 0-258,-1 4-269,1-4-362,-1 4 761,4-4 1,4-3 495,5 1 0,3-4-414,4 2 1,3-3-125,3 0 1,7 0-82,3 0 1,6 2 61,2 1 0,11 2 37,8 0 1,6 1-69,5 1 1,3 0-135,0 0 0,0 3 88,0 2 1,-10-2-2,-8-1 0,-5-1-102,-8-1 0,-1 0-227,-6 0 0,-6 0-701,-5 0 1,-4-1 458,-5-1 0,-2 1-892,-2-1 1408,-3-2 0,-13-3 0,-7-4 0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3.95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50 61 7661,'-7'0'275,"0"0"370,-1 0 17,1 0-116,0 3 1,1 1-217,1 4 0,2-1-143,3 1 0,0 6-131,0 1 1,0 6 15,0 2 0,0 4 30,0 3 1,0 0 9,0 1 1,0 0-17,0 0 1,0-4-191,0-2 1,1-5 35,1-1 0,-1-7-207,1-1 176,2-6 0,-3-3-212,2-4 0,0-3 121,-1-6 0,1-1 16,0-7 1,-3 0 95,3-4 1,0-3-1,-1-2 1,1-1 41,-3 0 1,2 0-47,0 1 0,4 0 122,-2-3 0,3 5-68,3-1 1,-2 3 82,4 4 0,-1 1-7,1 3 1,1 8-21,-4 3 0,0 5 13,-2 5 0,-2 3 104,0 8 0,-4-1-82,2 1 0,-2 1-30,-1 1 0,-3 3-35,1 0 1,-4 0 38,2 0 1,-3-3-173,0-2 1,0-1 9,0 0 0,0-3-97,0-2 1,0-2 56,0-3 0,0-1-238,0-1 305,0-3 1,0 0 45,0-4 1,2 0-57,0-2 261,4 1-123,-2-3 1,3 4-16,3 2 1,1 0 89,3 2 0,1 4-80,1-2 0,0 7-7,2-2 1,1 3-83,2 1 0,-1-4-129,-1 4 1,2 0-259,-3-1 0,2 3 186,-1-2 1,-2-2-344,-3-1 1,0-4-17,0-1 614,0 1 0,-12-17 0,-4 0 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4.1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29 7661,'2'0'436,"0"0"1,-1 0-492,2 0 0,-1 0 17,1 0 0,1 0 41,0 0 0,0 0-15,1 0 0,1-1-596,0-1 1,1 0 23,1-2 584,-1 2 0,4-7 0,-1 1 0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4.3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0 7649,'0'5'392,"0"0"1,-1 0-774,-1 4 0,1 0 67,-1 3 1,1 0 895,1 2 0,0 1-239,0 1 0,0 1-510,0 2 0,2 1-173,1-4 1,0 3-143,-1-3 1,0 0 109,3-4 0,-3-2 372,3-3 0,-3-3 0,3-2 0,-4-1 0,9-26 0,-2-6 0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4.8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57 7649,'4'0'0,"0"1"1150,-2 1 0,-1 4-407,1 4 1,0 5-221,0-1 1,-1 5-247,1 3 0,0-1-170,0 2 1,-1 2-167,1-2 0,-1 0 103,-1-4 0,3-2-300,-1-3 0,0-3-136,-2-2-159,0-4-82,0-2 122,0-9 0,3-2 202,-1-6 1,0-3-22,-2-2 0,3-2 127,-1-3 1,1 2 34,0-1 1,-2 1 180,4 1 1,0 0-42,2-1 0,0 2 199,0 1 0,3 3-35,2 4 1,-1-1 52,0 4 0,0 3 42,1 3 1,-2 3 135,-3 0 0,0 0 8,-3 3 0,2 1-64,-4 3 1,1 0-243,-3 0 1,0 2 58,0 1 1,0 1-290,0-1 1,-4 2-41,0-3 1,0 0-157,-1-2 1,0 0 135,-2 1 0,0-4 7,0 1 1,-1-3-77,-1 3 0,1-3 19,-1 0 1,1-1 337,1-1 0,0 0 250,0 0 285,0 0-458,0 0 0,3 3 52,1 2 0,3 2-298,0 2 1,3 2 62,1 3 1,3 1 1,3 1 0,-2-1-211,4 2 0,0-1-350,2-2 1,-2 2 211,0-4 1,-1-2-239,3-1 1,-2-1 623,0-1 0,-3 0 0,0-3 0,-1-1 0,-1-3 0,0-15 0,0-5 0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5.1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36 7628,'0'7'1241,"0"0"1,-1 3-553,-1-1 0,1 4-130,-1 1 1,1 4-204,1 3 1,0 0-52,0 0 1,0 0-212,0 0 1,3 1-154,-1-1 0,1-3-127,-1-2 1,-1-3 208,1-1-834,-1-4 568,2 2 0,-2-6-147,2-4 0,-3-4 138,0-3 1,0-1 12,0-1 0,-2-3 97,0-4 0,-1 0-3,3-3 1,-2 1 116,0 0 0,-1-3-54,3 2 1,0 1 120,0-1 1,0 1-73,0 0 1,3 0 117,2 1 1,1 4-12,1-4 0,3 7 88,-1-2 0,3 5-93,-3 2 0,1 2-18,-3 3 1,0 1 75,0 1 1,-3 3-80,-2 4 0,-1 2-205,-1 3 0,0 1-99,0 1 0,-3-1-121,-2 2 0,-1-5-1,-1 0 1,2-1-185,0 1 0,1-2 128,-3-3 1,0-2 36,3-1 0,-3-2 397,3 0 0,1-1 0,-10-35 0,1-9 0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5.69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127 45 7638,'-7'-7'0,"2"0"95,1 2 0,1-2 219,-1 2 1,0 2 405,-1-3 0,-1 4-311,1 0 0,0 1-174,-2 1 0,3 4-24,-5 4 1,3 4-1,-4 6 1,3 5-172,-1 8 1,1 3 104,0 6 1,1 3-452,1 6 1,2-2-155,3 4 0,5-8-413,4-2 0,7-10 873,10-8 0,44-24 0,16-9 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6.0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7828,'4'0'1086,"3"1"-442,-3 1 0,3 0-255,0 3 1,2-1-25,0 3 0,4 4-140,-1 0 0,1 5 0,1 1 0,0 3 121,-3 1 0,2 1-153,-4 4 1,-2-1-51,-5 1 1,-1 1-132,-1-1 1,-1-1-249,-1 1 0,-2-6-218,0-1 0,-3-7-1498,3-3-257,-3-4 2209,0-2 0,-6-28 0,-2-6 0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6.3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20 7619,'4'-6'1543,"1"1"-1103,-2 2 0,0 2 25,-1-2 1,0 2-120,3 1 1,-3 0-116,3 0 1,-3 0-132,3 0 0,-3 1-148,3 2 0,-3-2 109,3 6 1,-4 0-83,2 2 1,0 0 107,-1 1 0,1 2-39,-3 1 0,0-1-312,0-3 1,-3 1 201,1-1 1,-1 0 270,0-3 0,2 2 318,-4-6 599,3 6-223,-4-2 213,5-1-419,-2-1-463,3-4 0,4 0-200,3 0 1,1-1-550,4-2 1,0 0-1782,2-3 2296,0 4 0,22-7 0,5 5 0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8.26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92 0 7561,'4'0'1504,"-1"0"-1010,-3 0 0,-3 3-199,1 2 0,-3 4-214,0 0 0,-4 4 64,0 1 1,-3 0-221,3 3 1,-2-2-202,2-1 1,1-1-924,-1-1 903,4-2 296,2-6 0,31-41 0,8-14 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18.9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15 50 7635,'-2'-4'221,"-1"-1"0,1 3-353,2-3 1,-2 2 97,-1-1 1,1 1 745,2-1-456,0 2 0,3-3-115,2 2 1,1 0-119,1 1 0,0 1-5,0-1 0,3 1 150,2 1 0,-1 1-75,1 1 1,-3 2 190,3 3 1,-1 0-79,1 0 1,0 3 40,-2-1 0,0 3-69,-1 0 0,-2 2 24,2 0 1,-5 1-38,3 1 1,-4 0 2,2 3 0,-4-3-146,2 3 0,-2-1 73,-1 1 1,0 0-131,0-2 1,-3 0 28,1-1 0,-4-1-73,2-1 1,-2 0-14,1-2 0,-3-2-44,1 2 0,-2-3 122,2 0 0,0-1-94,0-1 1,0-2-10,0 0 1,2-4 51,0 1 0,1-1-57,-3-1 1,0-1 70,3-1 0,-3-2 3,3-3 1,-2-3 44,2-2 0,-2-1 13,4-1 1,-1 0 3,3 0 0,0-1 5,0 1 1,0 0-5,0 0 1,1 1-18,1 1 0,2-1-12,3 4 0,1-1 17,2 0 0,-2 3-3,1-3 0,1 5-328,0 0 1,1 3-464,-1-3 0,0 3 162,-1 0 1,-1 1 628,2 1 0,1 10 0,0 1 0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0.1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14 8041,'0'-4'1670,"0"0"-1308,0 3 164,0 0-134,0-2-257,0 3 6,3 3 1,-2 1 33,4 5 0,-1 1 10,1 5 1,1 1-5,-1 4 0,0 2-25,0 2 1,1 2-14,-1 1 1,0-2-82,0 0 0,1-4 98,-4-2 0,3-2-33,0-4 1,-1-4 16,1-2 1,-3-4-150,3-3 1,-1-3 51,4-1 0,-1-6-37,3-2 0,-2-2-30,4-6 1,-2 0-171,1-6 0,-2 2-458,0 1 0,-1 1 296,-1-2 1,0 4-589,0-2 0,0 5 374,-3 2 0,0 2-1115,-1 3 1681,-3 0 0,10 18 0,-2 4 0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0.6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64 0 7635,'0'6'492,"0"-1"0,-1-1-131,-1 4 1,1 1 66,-1 2 1,1-2-107,1 4 1,0 0 60,0 6 1,0 0-310,0 1 1,0 2 63,0-1 0,1 2-108,1 1 1,-1-5 90,1-1 0,-1-1-130,-1-2 1,0 0-27,0-3 1,0 1-72,0-6 1,0-2-105,0 0-132,0-3 85,0 2 1,0-5 100,0-2 1,0 1 96,0-3 1,2 0-90,1-2 1,-1-2-60,-2-2 0,0 2 6,0-4 0,0 1 31,0-2 0,3 0-6,-1 1 0,0-3 52,-2-2 0,0 2 50,0-2 0,1 1-42,1 2 0,0-1 139,3 1 1,-4 1-77,2 0 1,0 0 114,2 4 0,-1-1-88,1 4 73,0 2 1,2 2 29,0 3-18,0 0 0,-1 3-13,-1 3 0,0 0-45,-3 3 1,2-1 3,-2 3 0,-1-2 49,1 0 0,-1 0-82,-1-1 0,0 0-105,0-1 0,-2 1-195,-1 0 0,-2 1 88,0 0 0,-1 0-50,-1 2 0,0-3-44,0 1 334,-4-2 0,-37 18 0,-13 4 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0.9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8 121 7627,'-4'0'461,"1"0"1,9 0-231,3 0 0,8-1-370,4-1 0,6 0 155,6-3 0,8 1 211,4 0 1,6-3-186,3 0 0,4-1-123,0-4 0,-1 3-31,-3-3 0,-9 2 167,-3-1 0,-7 2-1017,-5 0 962,-4 4 0,-5 2 0,-4 3 0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5.8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50 7699,'0'-7'873,"0"0"-562,0 0 0,0 2-616,0 0 1,0 3 231,0-3 1,3 4 290,2-2 1,2 0-93,3 1 1,-2 0-24,4 2 1,0 0-151,2 3 1,0-1 105,0 5 0,0-1-13,0 6 1,-3 0 6,-1 2 1,-3 1 125,1 1 0,-1 1-124,0 4 0,-3-4 11,-2 4 0,-1-1 28,-1 1 1,-1 0 10,-1 1 0,-2-1-7,-3 0 0,0-2 14,-1-1 1,-1-1-188,0 2 0,-3-4 78,2-1 1,0-2 103,1-3 0,1-4-30,-1 2-38,1-4 1,2-1-11,1-4 1,-1-4 2,4-4 0,-1-2-75,0 0 1,3-4 51,-3 0 1,3-3-59,3 2 0,0 1-158,2 2 0,1 0-336,-1 0 0,1 0 2,1 3 0,1-2-227,1 4 0,0 0 768,2 4 0,14 5 0,5 4 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6.7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64 9027,'0'-4'1367,"0"1"-1217,0 3 1,0 3-121,0 2 0,0 4 110,0 3 1,0 1-91,0 1 1,0 3 36,0 2 0,-2 2-86,-1 0 0,1 2-67,2 1 1,-1-1 81,-1-1 0,1-4-78,-1 1 1,1-4 65,1-1 1,0 0-180,0-5 147,0-3-20,0-3 36,0-3 3,0-6 0,0 1 4,0-4 0,2-2-1,1-1 1,1-2 8,-1-2 1,0-2-3,-1 0 0,1-3-56,2 2 0,1-1 15,-4-1 1,3 0-81,0 0 0,1-1 100,2 1 0,-1 2-8,3 1 1,-2 2 20,1-1 1,-1 6-32,-1 1 0,2 3 87,1 2 1,-1 2-72,-2 3 1,0 1 138,0 1 0,-2 2-56,0 3 1,-1 1 13,0-1 0,-1 2-46,-3 0 1,3 3 4,-1-2 1,1 1-17,-3-1 0,0 1 5,0-1 1,0 2-97,0 0 1,-1-2 85,-2 0 1,2 0-174,-4-1 0,3 2 79,-3-2 0,0-1 36,-2 1 0,3-3-82,-1-2 0,0 0-292,-2 1 300,0-2 0,0-3 35,0 0 0,0 0 69,0 0 0,0-2-54,0-1 1,0-4 129,0 0 1,2-2-63,0 2 1,1 0 155,-4 0 0,4 0 31,-1 0 0,3 0-8,0 0 0,-1 2 140,1 0-56,-1 4-47,3-6-7,0 7-95,3-4 1,1 8-28,3 0 1,0 3 219,1 3 1,1-2 1,0 4 0,2 0-14,-2 2 0,-1 0-108,1 0 1,0 0-35,0 0 1,-1-2-152,1 0 1,-1-1-17,-1 1 0,0 0-142,0-2 0,-2-1 122,0-2 0,-4-2 75,2-1-302,-2-2-101,-1 1 0,0-4 139,0-1 0,0 0 224,0-2 0,-16-29 0,-4-9 0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8.50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10 36 7245,'-3'0'371,"1"0"126,0 0-404,2 0 86,-2 0 73,2 0-331,2 0 0,1 0 22,1 0 1,0-1 59,0-1 1,1 0-305,-1-2 0,2 2 113,0 0 1,0-1-671,-2 0 858,0-2 0,7 1 0,1-3 0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29.16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 49 7964,'-3'0'932,"1"0"-851,2 0-83,2 0 1,-2-1-179,4-1 1,-1 1-10,1-1 0,2-2 189,0 2 0,17-15 0,4-3 0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46.3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 1 7612,'0'4'-1878,"0"-1"1878,0-3 0,0 3 0,0-2 0,0 3 0,-1-4 0,-1 0 0,1 0 0,-2 3 0,3-2 0,0 2 0,0-3 0,0 3 0,0-2 0,0 3 0,0-4 0,0 3 0,0-2 0,0 2 0,0-3 0,3 0 0,-2 0 0,2 0 0,-3 0 0,3 0 0,-2 0 0,3 0 0,-4 0 0,0-7 0,0-1 0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3.70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53 31 7612,'0'4'-1761,"0"3"1644,-3-7 120,2 7 1,-2-5 5,3 3-10,0-4 1,-1 3 0,-2-4 0,2 1-3,-1 1 5,1-1-3,1 2 1,0-3-2,-3 0 1,2 0 1,-2 0 0,3 0 0,-4-3 0,3 2 0,-2-6 0,3 3 0,0-1 0,0 0 0,-2 3 0,-1-3 0,1 3 0,-5-15 0,-1 1 0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4.73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 1 6444,'-5'0'-141,"2"0"1,2 0 34,-1 0 58,1 0-23,-2 0 27,3 0 52,-4 0-25,3 0 231,-2 0 2836,3 0-2823,3 0-114,-2 0 0,3 0 15,-1 0 0,-1 0-16,3 0 1,-3 0-72,3 3 0,-2 1 54,2 5 1,0 0-5,2 1 0,0 3 36,-2 3 0,4 4 0,-2 4 0,3 2 20,-3 2 0,-2 1 7,0 0 0,-1 3-43,1-3 0,1-1 23,-3-1 0,2-3-45,-3-2 1,1-3 0,0-3 1,-2-1-84,1-1 1,-1 0 43,-1-4 0,3 1-148,-1-3 57,1-3 1,-2 0 47,1-2 1,-1 1 58,1-1-53,-1-2 0,0 2-176,2-3 177,-3 0-143,4 0 111,-4 0-2,0-3 14,3-2 0,0-4-1,2-2 0,1 2-46,-3-5 0,3 0 48,-1-4 0,1 0-122,2-4 0,-1-2-31,1-3-1,-1-3-125,1 0 1,-3-1 48,0-1 0,0 3-116,2-1 1,0 4-287,-2 0 0,1 4 201,-4 3 1,2 3-244,-2 3 0,-1 2 678,1 3 0,-1 3 0,-4 12 0,-1 7 0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5.40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 23 7805,'0'-4'742,"0"0"-510,0 1-43,0 3 1,1-4 69,2 4-153,-3-3 26,4 2-248,-4-2 29,0 3 36,-3 0 1,1 3-97,-3 2 0,2 2 10,-2 0 0,3 1 72,-3-1 1,1 1 17,-1-1 1,0 1 32,3-1 1,1 1 10,-1-1 0,1 1 5,1-1 0,0 1 11,0-1 0,0-2-13,0 0 1,3-2-5,2 2 0,-1-3 18,1 0 1,0 1-19,3 0 1,-1-1 98,1-2 1,-1 3-19,1-1 0,-1 1-20,1-3 0,-1 1-2,-2 1 0,0 0 215,-2 3-193,3-3-17,-5 4 0,2-2-164,-3 4 0,-1-1 41,-1 1 1,-2-3-223,-1 0 1,-1 0-21,1 2 0,-2 0-134,-1-2 0,1 1 125,-1-4 0,2 2-147,1-2 461,-2-1 0,3 2 0,0-6 0,1-2 0,2-2 0,11-27 0,3-7 0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6.22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7 7612,'8'0'0,"0"0"0,-2-1 117,-1-1 1,-2 1 247,3-1 0,-4 2-181,0 2 1,1 0-126,-2 3 1,0-1-29,2 3 1,-3-2 103,0 0 1,0 0-121,0 1 1,0 1 152,0 1-167,0 2 1,2-1 48,1 2 1,-2-4 135,1 1-159,0-5 0,-2 4-90,3-2-97,-2 2 163,6-6 0,-3 2-154,4-3 0,-2-3 41,-1-2 1,1 0-7,2-3 0,0 4-5,0-6 1,1 2 34,-2 1 0,-2 0 41,1-1 0,-2 2 83,1-2 1,2 3-9,-4 0 260,3 4 127,-5-4-320,3 4 1,-4 1-26,0 4-4,0 2-13,0 5-84,0-1 0,0 2-153,0-3 0,0-1-137,4 0 0,-3-3 102,5-2 1,-1-1-121,3 3 0,1-3 73,-2 1 0,2-3-1,-2 0 0,2 0 131,2-3 1,-2-1 63,2-4 0,-2 3-25,0-3 1,2 1 50,-1 0 0,1-1 144,-3-2 0,-1 3-86,-2-3 1,2 3 348,-5 0 1,3-1-179,-1 1 1,-2 3 744,-2-1-548,0 3 0,0 0 47,0 4 1,0 2-112,0 3 0,0 4-90,0 0 0,0 5-136,0 0 0,0 4 103,0-2 1,-2 4-156,-2-1 1,3 1 23,1-2 0,0 2-63,0-1 1,0-2-23,0 0 1,0-4-49,0-1 0,0-1 88,0-3 1,0 0-246,0-4 231,0-2-35,0 0-44,0-4-99,0-4 0,1 3 85,3-4 1,-2 0 53,-2-5 0,1 1 54,2 1 0,-3-3-47,4-1 1,-3-2 64,2 0 1,-2 1-50,1-2 1,-1 1 6,-1-1 0,0-2 14,0 2 1,3-2-12,0-1 1,0 3-7,-3 0 0,2 1-11,1 3 0,3 2-2,-4 0 0,4 3 69,-1 1 1,0 3 114,0 0 1,0 1 64,5 1 1,-4 3-119,-1 2 1,2 2 25,-4-1 0,2 2-52,-2-1 1,0 0-73,-3 0 0,0 1 86,0-3 0,0 3-542,0-1 0,-2-2-82,0-1 0,-1 1-302,-3 3 0,-2-3 212,3 0 0,0-4-74,0 1 1,-1-1 688,-1-1 0,-5-19 0,0-5 0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6.99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31 83 8280,'0'-4'2277,"0"0"-1942,0 4 1,0 4-77,0 1 0,0 2 96,0 3 1,0 3-35,0 4 1,0 2-128,0 4 1,-3-1-4,1 1 1,-3-1-103,2 1 1,0 0-159,1 2 0,1-5 106,-2 0 0,0-1-121,0-4 1,1 0-844,2-5 359,0 0-183,0-5 198,0-2 316,0-3 1,0-3 128,0-2 1,0-2 106,0-1 0,0-2-41,0-3 1,1-1 98,1-1 1,-1-1-30,2-1 1,-3 1-66,0-2 0,0-1 47,0-1 0,3-2-36,-1 0 0,1-2-4,-3-1 1,2 2 22,1-2 1,3 4-5,-1 1 0,1 3 157,-1 0 1,1 4-102,-1 3 0,2 5 165,0 3 1,1 1-48,-1 1 0,1 1 14,-1 1 1,1 3-31,-1 2 1,1 1 35,-1-1 1,1 3-23,-1 0 0,1 1-49,0-1 1,-3-1-13,0 4 0,-3-4-15,3 1 1,-2 1-74,2-1 1,-4 1 79,2-1 1,-2-2-166,2 2 1,-2-2 42,1 0 0,-2-2-72,-2-1 0,0 2-18,-3-2 1,0-1-249,-2 1 0,-1-3 53,1 0 0,-1-1-88,0-1 0,-2 0 75,0 0 0,0-1 27,0-1 1,1 0 388,-1-3 1,3 0 2,2-2 563,-2 3-476,6-3 0,-3 4 255,2-2 90,1 1-162,-3 4 0,8 1 160,1 2 1,1 3-169,2 4 1,-1 4 10,1-2 1,2 2-537,0 1 0,0 0 165,-3 0 0,1 0-846,-1 0 1,1 0 53,0-3 1,-1 2-309,1-1 1,-3-2 500,0-1 0,0-3 68,2-2 1,1 1 202,-1-4 1,-2 1 334,0-3 0,-3 0 0,8-17 0,-2-4 0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1:57.47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38 53 7587,'-5'0'1893,"2"4"1,3 0-867,0 3-643,0 1 0,0-1-140,0 1 1,0 2-365,0 0 1,3 1 155,-1-1 1,1-1 125,-3 3 0,0 1-49,3 2 1,-2-3-201,1 1 1,-1-1-380,-1 0 1,0 2-393,0-1 1,1-1 422,1 0 0,-1-3 155,2 1 1,-2-1 161,-1-2-76,0-3 161,0 3 28,3-6 0,-2 1 71,1-4 1,-1-2-25,-1-4 1,0 1 65,0-1 0,0 0-51,0-2 1,0 1 87,0-1 1,0-1 36,0-2 1,0 1-96,0 0 0,0 0 49,0 0 0,0-2-18,0 1 0,0-1-30,0-1 0,0 0-8,0 0 0,0 2-5,0 1 1,3-1 59,-1-2 1,3 4-58,-2 1 0,2 1 152,-3 2 1,4 2-84,-1 0 1,-1 3 383,1 0-296,0 1 1,3 4 110,-1 2 0,-2 2-107,0 0 0,-2 1-97,2-1 1,-4 1 114,2-1 1,0 1 80,0-1 1,-1 2-60,-2 1 0,0-2-86,0 2 0,-3-2-627,-2 0 1,0-1 306,-3 1 0,3-1-1933,-5-2 1,-1 0 2059,1-2 0,-34-11 0,-5-4 0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6.1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8 7753,'-4'4'547,"0"1"117,2-2 1,1 0 71,-1-1 0,2 0-282,2 3 0,2-3-195,3 3 1,1-4-108,1 1 0,5-1-116,2-1 0,3 0-145,-3 0 1,4 0-889,-1 0 997,1-3 0,11-13 0,2-7 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8.2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67 86 7679,'-14'0'869,"3"1"-652,-1 1 0,1-1-1660,2 1 486,3-1 1633,3-1-462,12 0 0,0-1-20,8-1 1,2 0-87,4-3 0,1 3 112,5-3 1,2 4-35,5-2 1,1 0-106,5 1 1,5 0-20,7 2 0,7 0 3,7 0 0,2 0-144,6 0 0,-1 0 113,-2 0 1,3 0-11,3 0 1,-7 0 33,-1 0 1,0-1-1,-2-2 1,2 0 27,1-4 1,-8-1-17,-2 1 1,-3 0-118,-1 0 1,-2 0-158,-3 0 1,-8 3-506,-2 2 0,-10 1 709,-2 1 0,-5-1 0,-3 2 0,-2 2 0,-3 1 0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9.0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78 0 7682,'-4'0'281,"0"0"-21,2 0 17,1 0-13,-5 0 1,4 0 225,-3 0 1,4 3-282,-1 2 0,-2 2-6,2 3 1,-1 1-184,1 6 1,1 4 60,-2 5 0,0 1-50,1 2 1,-3 1 18,3 1 0,-3 2-102,3-3 0,-3 0 109,3-4 1,-1-5-76,0-5 0,3-3-126,-3-1 153,2-7 0,1-2-242,0-7 0,3-3 64,-1-3 1,3-2 18,-3-4 1,4 0 48,-2-3 1,3-2 23,0-2 0,-1-3 53,-1 2 1,1 0 3,-1 1 1,3 1-3,2-2 1,0 2 22,-1 1 0,0 3 20,3 2 1,-1 1 107,4 4 0,-4 1 37,1 6 1,-3 0-37,0 4 0,-1 4 41,-1 0 0,-1 5-62,-1 0 0,-1 4 7,-2-1 1,-1 1-85,1 1 0,-1 0-15,-1 0 0,-2 0 8,-1 0 0,-2 1-17,0-1 0,-1-1-196,-1-1 0,0-2-67,0-3 1,0 0-50,0 0 1,-1-3 149,-2-2 1,3-1 27,-3-1 0,2-2-62,1-1 1,0-2 61,0 0 0,1-1 200,1-1 0,0 0-126,2 0 158,-2 0-10,4 0 1,-1 3 68,4 1 0,2 3-57,3 3 0,0 3 31,0 3 0,3 4-143,2-1 1,-1 2 50,1 2 0,-1-2-282,1 1 1,1-1 83,-1-3 0,-1 2-280,0-1 0,-2-2 80,0-3 1,-1-1-52,-1-1 0,-2-2-116,0-3 518,-4 0 0,-1-16 0,-4-3 0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9.27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 7696,'4'0'966,"1"0"-597,0 0 0,2 0-77,0 0 1,1 0-89,1 0 1,0 0-196,2 0 0,0 0 78,1 0 1,2 0-478,-3 0 1,3 0 2,0 0 0,-3-1-237,1-1 1,-2 1-311,1-2 191,-2 3 743,1 0 0,-3 0 0,-15 0 0,-5 0 0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9.44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22 0 7696,'-4'3'647,"-2"1"-386,4 3 0,0 0 98,2 0 0,-1 3-177,-1-1 0,1 4-163,-2-1 1,3 1-115,0 1 0,0 0-339,0 0 0,0 0 104,0 0 1,2-2 211,0 0 1,2-4-474,-2-1 1,-1-1 163,4-4 1,0 1 426,2-3 0,6-19 0,2-5 0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19.97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60 7696,'5'-4'0,"0"2"741,-4 1 1,3 2-244,-1 1 1,-3 3 70,3 5 0,-2 1-182,-1 3 1,0 3-112,0 2 1,0 1-84,0 1 1,-1 4-1,-2 0 1,2 1-60,-4-1 0,3-2-105,-3 1 1,3-2-201,-3-1 1,3-3 128,0-2 1,1-4-793,1-3 401,0-4-540,0-2 680,0-12 1,0 0 58,0-7 0,3-2 81,-1-1 0,1-1-6,-1-2 1,0 1 75,3 0 1,-4-2-51,2-1 0,0-2 82,-1 3 0,4-4-50,-2 1 1,3 2 235,0 0 0,1 3-78,1 2 1,0 5 322,2 5 1,0 2-29,1 2 0,-2 5 114,-3 5 0,0 2-148,0 2 1,-3 2 39,-1 3 1,-3 1-79,0 2 1,0-2-57,0 4 0,0-3-245,0 0 0,0-2 58,0-2 0,-2 1-366,0-1 0,-3-2-26,3 0 0,-3-2-774,3-1 495,-4-3 1,2-1 221,-3-3 0,2 0 84,1 0 0,1-3 92,-1-2 1,0 1 262,-1-1 0,1 1-158,2 0 890,1 1-486,-2 3 1,3 0 5,0 3 1,2 1-185,1 6 1,2 0-134,0 2 1,1 1 10,1-1 1,3 4-215,-1 0 1,0 0 123,-2-1 1,3-4-266,-1 1 1,1-3-445,0 3 1,-2-5 825,1 0 0,2-11 0,0-1 0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20.34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36 11282,'0'11'794,"0"-2"0,0 2-591,0 1 1,0 2-279,0 0 1,0 0 39,0 0 1,0 0 59,0 0 1,0 0-71,1 0 1,-1 0-322,0-3 1,0 0-173,0-4 1,0-1-96,1-1 112,-1 1 1,0-6 186,0 0 1,0-6 99,0-3 1,0-4 113,0 2 0,0-6 113,0-2 0,0 2-99,0 1 1,0-2 56,0 2 1,0-1 106,0 0 0,1 5-13,-1-2 1,1 2 85,0 0 1,0 2-46,1 3 0,-1 3 170,1 2 1,-1 1-71,1 1 1,-1 0 153,0 0 1,0 3-32,0 2 0,-1 1 56,1 1 0,-1 2-161,0 1 1,0 2-70,-1-3 0,1 3-203,-1-3 0,-1 1-384,1-3 1,0 0-725,1 0 0,-1-3 1176,0-2 0,-1-20 0,0-6 0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20.55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 1 7680,'11'0'-104,"-2"0"1,-1 0 390,-1 0 0,0 2 446,1 0 1,-1 4-263,3-2 1,-2 3-40,1 0 1,-4 3-211,0 2 1,-3 4-21,0 3 1,-1 5-459,-1 1 1,-3 4 228,-2 1 1,-2-2-1978,-2 1 2004,-2-1 0,-22 3 0,-5 5 0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20.9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240 36 7681,'-7'-3'2,"0"0"37,0-2 14,0-1 1,0 2 243,0-3 0,-3 3 383,1 2 1,-1 1-254,3 1 1,-3 1-145,-2 1 0,-1 3 67,-1 7 0,0 4-96,0 7 0,-3 6-148,1 7 1,0 0-94,4 4 0,2 2-167,3 3 1,3-1-289,2-1 1,10-7-1445,7-3 1886,6-10 0,70-24 0,-35-6 0,-1 0 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21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0 7701,'7'1'962,"-3"2"1,3-3-766,-3 3 0,3-3 8,0 0 0,0 3 16,0-1 0,0 1-62,0 0 0,0-3-92,0 3 0,-2 1 158,-1 0 1,0 0-3,1 1 1,-2 1-132,-3 3 1,0 0 93,0 2 1,-3-1-104,-2 1 0,-2-2 64,-2 0 1,1 0 232,-1 1 0,1-3 35,1 0 1,0 0 478,3-3-417,-3 0-287,7 2 0,-3-5-28,3 4 1,3-3-86,4 0 1,2-1-108,5-1 1,0 0-420,4 0 0,1-1-644,2-1 1,0-2 1092,-2-3 0,-2-16 0,-3-4 0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46.5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98 98 7815,'-5'4'-1590,"-3"-3"1590,7 3 0,-6-3 0,4 2 0,0-2 0,3 3 0,-4-4 0,3 0 0,-3 0 0,3 0 0,-2 0-488,3 0 507,-4 0 1,3 0 29,-2 0 275,2 0-180,-3 0 302,0 0-263,3 0 1,-4 0 7,2 0 421,2 0-305,-3 0 0,3 0 229,-2 0-179,2-4-240,-3-1 1,4-4 50,0 0 1,0 3-131,0 0 0,1 1 62,2-4 1,-1 3-83,4 0 24,0 0 1,4-3 21,2 0 1,-3 5-30,3 1 0,-1 2-12,1 1 1,-2 0 11,5 0 1,-3 4 29,3 1 1,-5 7 61,2 3 0,-2 2-24,-1 0 0,-1 5 7,-3 1 0,2 3 5,-4 0 0,0 1 8,-3-1 0,-4 1 3,-2-1 1,-4 2-19,-2-1 1,-1-3 21,1-6 0,3-4-23,-3-3 0,-1-1-106,1-1 1,1-4 60,2-2 1,0-2-148,0-1 0,0-4-49,0-2 0,1-5-87,-1 0 1,3-6 65,0-1 1,0 0-76,-3-6 0,3 1 139,1-4 0,3 2-9,-1 1 1,2-3-15,1 3 0,1 0-13,2 3 1,2 5 253,7-1 0,2 2-5,4 0 1,0 0-32,3 3 1,-2 0-130,5 3 0,-1 2-105,4 1 1,-5-1-319,-1 4 1,1 0 176,-2 3 0,1 0-154,-4 0 1,-2 1 104,0 2 1,-3-1 332,2 4 0,1 19 0,3 9 0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47.0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9 0 7862,'-4'0'1208,"0"0"1,4 4-803,0 2 1,1 6-107,2 3 0,-1 6-38,3 6 0,1 0 48,3 5 1,-3 1-65,0 2 0,-1-1-41,1-1 1,1-4 7,-5-5 1,4-1 15,-3-5-149,4-3 1,-2-7-145,4-2 1,-3-4 6,0-8 1,-1-1-153,4-7 0,0-5 14,0-5 1,0-1-186,0-1 0,-1-1-293,1 1 0,0-1 285,0 1 1,0 0-217,0 3 0,-4 2 163,1 6 0,0 1 441,3 5 0,0 18 0,0 10 0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47.5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 1 7747,'0'8'0,"-3"-2"-66,0 0 0,-3-3-302,3 3 184,0 0 1,3 6 680,0-1 0,0 1 1023,0-3 1,0 4-975,0 1 0,1 4-222,2 3 1,-2-3-180,2 3 1,-1 0 64,1 0 0,-2 0-225,2-4 1,-2 1-76,-1-1 1,0-3-122,0-2 1,0-2 101,0-1 143,0-5-343,0 0-89,0-4 1,0-4-6,0-1 1,0-7 98,0-3 0,0-2 273,0 0 0,0-1-51,0 1 0,3-4 18,0 0 1,0-2 10,0 2 1,-1 2 13,4 4 0,-3-2 102,3 3 1,-1-2-82,1 1 1,2 3 102,-2 3 0,1 3-59,2 0 250,4 4 1,-3-2 0,2 4 0,-7 1 80,-2 2 0,1 2-66,-1 4 1,0 1-8,-3 1 1,-1 0-229,-2 4 1,1-1-218,-4 4 1,2-3-229,-2-1 0,-2 0-514,2 1 1,-2 1-542,-1-5 1444,4 1 0,-14-3 0,-1 0 0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3:47.89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14 97 7966,'-4'5'514,"2"-1"-983,-3-4-1004,3 0 2313,5 0 0,7 0-352,8 0 1,4-1-93,5-2 0,3-1-114,6-2 1,7-1-7,4 4 1,8-3-108,3 0 0,3-1 0,1 1 1,-1-2-27,-3 2 1,-1-1 4,-4 2 1,-5-2-176,-4 4 1,-2-3 56,-6 3 0,-7-1-712,-8 1 1,-4 2 112,-2-2 569,2 2 0,-11 9 0,1 2 0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5:53.60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41 1 7758,'-13'14'4,"3"-3"0,1-6 589,5 3-189,0-5-149,4 2 1,5-5-104,3 0 1,2 0-206,2 0 1,4-2-133,4-1 0,-2 0-368,1-5 1,-1 6-703,1-2 1255,3 2 0,1-3 0,7-1 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5:53.6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 47 7774,'-12'0'-143,"5"0"-317,-1 0 1076,5 0-519,-2 0 0,10 0-97,3 0 0,70-21 0,17-5 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00.25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62 61 7822,'-9'-1'1,"1"-3"0,4 1-481,-4-5 1,1 4 71,-1-4 1,1 1 1235,3-1 1,3 1 89,-3 3-315,2 3-387,2-5 0,2 6-39,2 0 1,-1 1 20,5 4 0,0 7 9,4 8 0,-4 7-8,0 2 1,1 6-24,3 2 1,-4 0-122,0 4 0,-4-2 111,4 2 0,-5-2-141,1 6 1,2-5 85,-2 1 1,1-5-15,-1-3 1,-2-4 32,2-9-269,3-2 72,-6-11 1,8-7 85,-4-9 0,3-7-151,-4-4 0,1-3 33,-1-2 0,-1-4-274,5 1 1,-4-6-89,4 1 1,-5 3-255,1 2 1,3 2 163,1 1 0,-1 1-190,1-1 1,0 6 740,5 3 0,15 19 0,5 5 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01.2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88 1 7824,'-8'1'-1341,"1"3"2148,-1-2 0,5 3 195,-3-5-674,3 0 1,-2 0-35,2 0-188,2 0 1,-5 1 42,3 3 0,2-2-1,-3 6 1,0-4-155,1 5 1,-1-2 103,0 5 0,3 0-157,-2 0 0,1 0 0,-1-1 1,2 1 1,-2 0 1,1 0-30,2 0 1,2-2-187,1-2 0,-1 2-49,5-7 1,-1 5 108,3-4 1,1 0 128,0-4 0,-3 4-35,-1 0 0,0 0 224,4-4 0,-3 0-38,0 0 1,-4 0 259,3 0-167,-3 0 20,1 0 0,-4 1-150,0 3 0,-1-2 30,-2 7 1,0-3-154,-3 2 0,0 2 79,0-1 0,-3 0-261,3-2 0,-2 4-419,1-3-121,-1-3 190,7 6 297,-4-10 1,5 3 88,0-8 0,2-3 238,1-4 0,1-3 0,2-1 0,3 0 0,-3-4 0,3 2 0,1-2 0,2 4 11,-2-6 0,2 7 52,-6-2 0,3 3 64,1 1 1,-4 1 628,0-1 177,-3 5-620,5 2 1,-7 10-7,3 3 0,-3 4-94,-1 4 1,1-2-119,2 6 1,-1-5 10,1 6 1,-2-7-173,-1 2 0,3-3 22,0-1 0,3-1-196,-2 1 0,3-5-142,0-3 1,-2-3 160,2-1 0,-1-1-4,4-3 0,0-8 54,0-8 1,-1-2-3,2-2 0,-2 0 89,1 1 1,-5-1 158,-2 1 1,1 2-58,0 2 1,0 5 425,0-2 119,-4 8-377,5 3 1,-5 7-38,0 6 0,-2 1-23,-1 11 0,3-4-16,-4 4 0,4-2-40,0 2 1,0 1-94,0-6 1,0 2-1,0-6 0,0 1-161,0 0 0,0-5-502,0 2 492,4-7 1,1 4-65,5-6 1,-4-7 89,0-5 1,2-1 114,1-7 0,1 2-13,-1-2 0,0-2 14,-3 2 0,3 3 73,-3 1 0,0 3 224,0 1 1,-2 2 176,3 2 0,-4 2-185,3 6 0,0 7 246,0 5 1,-2 6-155,-4 10 1,3 2 66,1 6 0,0-1-110,-4 1 1,3-1-113,0 1 1,0-4-3,-3-2 0,0-1-10,0-1 0,0-1-185,0-12 0,0-2 41,0-6-141,-5-4 0,5 1 49,-4-8 0,4-5-111,0-6 0,-4-3-8,0-6 1,1 0-4,3 1 1,0-2 65,0-3 1,0 3-113,0-2 0,2 2 107,1 1 1,-1 0 37,5 0 0,-1 2-24,4 3 1,-1-3 17,2 7 1,-3 2 349,-1 6-135,5 5-165,-5-4 0,2 16 293,-5 1 0,-3 9 436,-1 0 0,-5 2-60,-1 1 1,-3-3-233,0 0 1,-1-6-546,1 2 0,-2-3 145,2-1 16,-1-5 0,-13-23 0,-2-10 0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04.22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28 50 7855,'-6'4'-89,"0"0"-882,0 0 1178,1-4 1418,1 0-1431,4 0 1,5 0-174,4 0 1,1 0-246,6 0 0,-1-4-84,4 0 1,0-4-91,2 4 0,-1-5 92,2 5 1,-4-5-333,-3 1 638,3 2 0,-4 1 0,4 5 0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04.4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21 37 7780,'-4'1'-74,"-1"3"0,3-2-393,-3 2 753,4-3 407,-2 4 1,6-3-565,2 2 1,1-4-88,3-4-42,2 2 0,32-25 0,8 0 0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11.11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11 102 8149,'-6'0'148,"2"0"-501,4 0 1,1-1 188,2-3 1,3 3-98,4-2 1,5-2 122,2 2 0,-1-5-4,0 1 0,1 0 142,4 0 0,21-20 0,7-1 0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11.2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31 8149,'0'-6'-51,"0"2"51,9-1 0,56-1 0,23-4 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13.6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1805 8451,'0'-5'-2292,"0"0"2385,0 1 1,1 2-56,2-1 1,1 3 38,2 3 1,5 2 170,-2 2 0,0 5-20,1-2 0,-1 3-130,0-3 0,2 3 76,2 1 1,0 4-62,-1-1 0,-4-1-38,5 0 1,-1-2 18,1 3 1,-1-1-9,-3 0 1,0-1-14,0-5 1,-1 4-4,1-1 0,-1-3-65,1-3 0,-1-3 68,-2 2 0,2-3 8,-1 0 0,-2-2-12,0-1 1,-1-1 102,2-2 1,-3-3-142,3-4 1,-5-1-2,1-3 0,4-1-37,0-2 1,-2-5-11,3 2 1,-5-3-11,4 3 1,-2-2 64,1-1 1,1-3-195,0-4 1,1-1 146,-4 1 1,4-1-44,-1 1 1,1-4 31,2 0 1,0-3 6,0 3 0,-1-3-5,1 3 0,1-6 1,-1 3 0,0-4-13,0 7 0,1-3-2,3 3 0,-2-6-1,-1 3 1,1-5-10,2 5 1,-2-3-47,-3 0 0,4-1 52,-3 1 0,3 3-2,-6-1 1,4 2-3,-4-1 0,1-1-2,0 4 0,0 0 123,-5 4 0,3-1-56,-3 1 1,-2 1 16,4 2 1,-3-1-47,-1 4 1,1 0 20,1 4 0,-1-4-7,3 1 0,-3 1-23,-1 2 1,0 5 15,0-5 0,0 2-19,0-2 1,0 3 44,0 0 0,-1 5 5,-3-2 1,3 3 32,-1 1 1,1 3-55,1 0 1,0 4 19,0-4 14,-5 5 7,5-7-38,-3 8-16,3-4 1,1 2-55,1-1 60,-2 1 1,8 3-22,-1 0 1,1-1 17,0-3 1,1 3-10,0-2 1,2 2 5,0 1 0,3 0 0,0 0 1,3 0 1,1 0 0,0 0 0,2 0 1,3 0 23,1 0 1,2 0 3,1 0 1,-1 0-8,2 0 0,2 0-12,3 0 0,1 0 50,2 0 1,3-1-44,-1-3 1,0 3-18,-3-2 1,4 2 13,-1 1 0,7 0-2,-4 0 1,5-1 13,-5-3 1,6 3 1,0-2 0,5 2 18,-2 1 1,2-4 1,2 1 1,-1-4-5,1 4 0,5-4-44,-1 4 1,3-4-1,-5 3 0,-1 0 7,5 1 1,2 1-8,0-1 0,2-1 10,-5 0 0,3 0-146,4 0 0,-1 3 149,3-2 0,-1 1 0,-5-2 0,4 3-23,3-2 0,0 1 23,-1 2 1,2 0-23,-2 0 0,2 0 18,1 0 0,3-1-2,-3-2 0,3 2-9,-3-3 1,0 3 2,3 1 0,3 0-4,0 0 0,1 0 6,-7 0 0,5-1-243,1-2 0,1 2 243,-1-3 1,1 3-14,-5 1 0,5 0 6,-1 0 0,4 0 1,1 0 0,-2 0-11,-6 0 0,4 0 12,-1 0 0,4-3-28,-1-1 0,1 1 25,-7 3 0,4 0 1,-2 0 0,6-1-4,-2-2 1,-1 1-3,-4-1 0,0 2-42,6 1 0,-2-3-1,-2-1 0,-3 1-82,-3 3 0,0 0-201,1 0 1,-2 0-41,-2 0 0,-5 0 375,-4 0 0,3 0 0,1 0 0,-6 0 0,-1 0 0,-3 0 0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23.0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5786,'5'0'166,"-2"0"-83,-3 0 653,0 0-491,4 0 41,-3 0 40,3 0-8,-4 0 307,0 0-331,4 0-39,-4 0-127,4 0 1,-3 4-88,2 3 0,-2 2 49,1 1 0,2 5-10,-1 2 1,1 6-36,-2 4 0,0 3-13,4 0 0,-4 4 11,1 0 1,0-1-12,0-2 0,1-2-15,-2-2 1,0-2 27,0-5 1,2-4-3,-1-3 0,0-2 66,1-5-57,-4-1 1,7-6 32,-4-3 1,2-1 1,-2-5 1,3-5 55,0-2 1,2-2-67,0-1 0,0-5-162,0-2 1,1-5 96,0 2 0,-1-3-329,0 6 1,1-1-67,-1 1 1,0-1-225,0 4 0,1 2 137,0 5 1,-1 2-989,0 5 1458,1 0 0,3 22 0,1 6 0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23.63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133 11 6460,'-6'0'2042,"1"0"-1806,5 0-177,0-5 0,-1 4 62,-2-2 4,2 1-68,-4 2 10,1 0 1,2 0-109,-5 0 13,0 0 1,-2 2-26,2 1 1,-2-1 74,3 5 1,0 0-96,-1 3 1,4 0 75,-4 0 0,5 0-126,-2 0 1,0 1 37,0-1 32,1 0 0,3 0-4,0 0 0,1-1-10,3-2 0,-3 2 51,2-2 1,3-2 1,1 2 1,-2-4 63,2 4 0,-4-3-70,4 2 0,-4-2 0,4 2 81,-5-3 1,4 5 358,-3-5-370,-1 5 0,2-6 12,-4 5 0,0-4-36,0 4 0,-1-4 21,-2 4 0,0-3-127,-3 2 0,2-2-75,-3 2-229,1-3 359,-4 1 1,-1-4-32,1 0 1,3 0-262,1 0-296,3 0 165,-6-4 1,8-2 153,-2-4 1,2 3 293,1 0 0,0 1 0,0-5 0,4 1 0,29-22 0,11-7 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6T17:06:24.53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31 7918,'6'-3'-424,"1"-1"-578,-5 1 992,7-2 922,-7 4-691,2 1 0,-4 6-115,0 4 0,0 0-117,0 0 1,0 0 39,0 0 0,0 4 29,0-1 1,0 4-28,0-3 1,0 3-6,0-4 0,0 1-56,0-4 1,0 0-55,0 0 62,0 5 0,0-4-37,0 3-64,0-8 0,1-1 74,3-5 1,-2 0-47,5 0 0,-4-5 62,4-1 0,-2-3-5,2-2 0,2-2 12,-2-1 0,-1 0 8,0 0 1,-2 3 22,2-2 1,-2 1 15,3 2 1,-5 0 15,1 0 1,2 3-45,-2 0 26,0 5 0,-1-2-3,1 4 0,-2 1 2,3 2 1,-3 3-2,-1 4 0,0 0 2,0 0 0,0 0-10,0 0 1,0-3 16,0 0-35,0 0 1,1 2-50,2-3 0,-2 0-75,3-3 32,1-1 37,1 2 1,3-5 44,-2-2 1,1-3-6,-5-4 1,5 0 20,-1 0 1,-3-1-32,-1 1 0,2-3 125,-2-1 1,4 1-101,-4 3 0,4-1 185,-3 1 1,-1 0 10,-3 0 1,3 3 268,1 1-250,-1 3 187,-3-1-203,5 4 1,-4 5-76,2 6 1,-2 0 27,-1 6 0,0 3-49,0 4 0,0-1-5,0-2 0,0 2-40,0 1 0,0 3-14,0-3 1,-3-1-39,0-3 1,-1 1 40,4-1 1,0-1 23,0-2 0,0 1-20,0-4 0,0-4-224,0-4 135,0 1-70,0-1 120,0-2 1,0-13 5,0-4 1,0-2 6,0-2 1,0 4-34,0-4 1,0 0-6,0-3 0,0 3-83,0 0 0,4-3 62,-1-4 0,4 4-34,-4 3 0,4 0 26,-4-3 0,5-1-7,-1 1 1,-2 1 38,2 2 0,0-1 12,3 5 1,0-1 15,0 4 1,1 1 16,-1 2 1,0-1 101,0 5-126,0-1 1,0 4 127,0 0 0,-4 5-31,-3 2 1,2 2 65,-2 1 0,1 0-9,-4 0 0,0 4 168,0-1 1,-2 4-66,-1-3 1,1 3 60,-5-4 0,0 4-262,-3-4 0,3 1 115,1-4 0,0 0-207,-1 0 1,-2-1-104,3-2 1,-3 1-117,-2-5 1,5 1 49,-1-4 1,0 0-82,-3 0 0,3-1-569,0-3 1,5-1-190,-1-6 251,-3 1 0,5 0 40,-2 0 751,2 0 0,14-23 0,4-5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2CEA5-97CB-4C9D-8D8B-4DBAFFF96CF4}">
  <dimension ref="A1:X7"/>
  <sheetViews>
    <sheetView tabSelected="1" topLeftCell="C1" zoomScale="85" zoomScaleNormal="85" workbookViewId="0">
      <selection activeCell="Y16" sqref="Y16"/>
    </sheetView>
  </sheetViews>
  <sheetFormatPr defaultColWidth="8.85546875" defaultRowHeight="15" x14ac:dyDescent="0.25"/>
  <cols>
    <col min="1" max="1" width="13.28515625" customWidth="1"/>
    <col min="5" max="5" width="9.28515625" bestFit="1" customWidth="1"/>
    <col min="7" max="7" width="9.140625" bestFit="1" customWidth="1"/>
    <col min="8" max="8" width="9.28515625" bestFit="1" customWidth="1"/>
    <col min="9" max="9" width="9.140625" bestFit="1" customWidth="1"/>
    <col min="10" max="10" width="12.140625" bestFit="1" customWidth="1"/>
    <col min="11" max="11" width="9.28515625" bestFit="1" customWidth="1"/>
    <col min="12" max="13" width="9.42578125" bestFit="1" customWidth="1"/>
    <col min="14" max="14" width="9.28515625" bestFit="1" customWidth="1"/>
    <col min="15" max="15" width="9.42578125" bestFit="1" customWidth="1"/>
    <col min="16" max="22" width="9.28515625" bestFit="1" customWidth="1"/>
  </cols>
  <sheetData>
    <row r="1" spans="1:24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2" t="s">
        <v>5</v>
      </c>
      <c r="G1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22</v>
      </c>
      <c r="S1" t="s">
        <v>17</v>
      </c>
      <c r="T1" t="s">
        <v>18</v>
      </c>
      <c r="U1" t="s">
        <v>19</v>
      </c>
      <c r="V1" t="s">
        <v>20</v>
      </c>
      <c r="X1" t="s">
        <v>21</v>
      </c>
    </row>
    <row r="2" spans="1:24" x14ac:dyDescent="0.25">
      <c r="A2">
        <v>2.6352000000000002</v>
      </c>
      <c r="B2">
        <f>7.3073/1000</f>
        <v>7.3073000000000001E-3</v>
      </c>
      <c r="C2">
        <f>A2*(D2/($P$2+D2))</f>
        <v>0.17520721861643185</v>
      </c>
      <c r="D2">
        <v>1.26</v>
      </c>
      <c r="E2" s="1">
        <v>2.4270999999999998</v>
      </c>
      <c r="F2">
        <f>E2/$P$2</f>
        <v>0.1371940534735176</v>
      </c>
      <c r="G2" s="1">
        <v>1.8273999999999999E-2</v>
      </c>
      <c r="H2" s="1">
        <f>G2/$Q$2</f>
        <v>6.9474964832908783E-4</v>
      </c>
      <c r="I2">
        <f>C2*F2</f>
        <v>2.4037388519809039E-2</v>
      </c>
      <c r="J2">
        <f>H2*G2</f>
        <v>1.269585507356575E-5</v>
      </c>
      <c r="K2">
        <f>SQRT((B2/A2)^2+($P$2*$R$2/(D2*($P$2+D2)))^2+($S$2/($P$2+D2))^2)*C2</f>
        <v>0.1038475948804131</v>
      </c>
      <c r="L2" s="1">
        <f>SQRT((U2/E2)^2+ ($S$2/$P$2)^2)*F2</f>
        <v>4.3383172810399502E-5</v>
      </c>
      <c r="M2" s="1">
        <f>SQRT((U2/G2)^2 +(L2/H2)^2)*J2</f>
        <v>9.5065208452063038E-7</v>
      </c>
      <c r="N2">
        <f>SQRT((K2/C2)^2+(O2/F2)^2)*I2</f>
        <v>1.4247418166111091E-2</v>
      </c>
      <c r="O2" s="1">
        <f>SQRT((V2/E2)^2 +($S$2/$P$2)^2)*F2</f>
        <v>3.6773199867575005E-4</v>
      </c>
      <c r="P2">
        <v>17.690999999999999</v>
      </c>
      <c r="Q2">
        <v>26.303000000000001</v>
      </c>
      <c r="R2">
        <v>0.8</v>
      </c>
      <c r="S2">
        <v>1E-3</v>
      </c>
      <c r="T2">
        <v>1E-3</v>
      </c>
      <c r="U2">
        <f>755.13/10^6</f>
        <v>7.5513000000000002E-4</v>
      </c>
      <c r="V2">
        <f>6.5041/1000</f>
        <v>6.5041000000000005E-3</v>
      </c>
    </row>
    <row r="3" spans="1:24" x14ac:dyDescent="0.25">
      <c r="A3">
        <v>1.9009</v>
      </c>
      <c r="B3" s="1">
        <v>9.8607999999999994E-3</v>
      </c>
      <c r="C3">
        <f t="shared" ref="C3:C7" si="0">A3*(D3/($P$2+D3))</f>
        <v>0.10745848221428193</v>
      </c>
      <c r="D3">
        <v>1.06</v>
      </c>
      <c r="E3" s="1">
        <v>1.7682</v>
      </c>
      <c r="F3">
        <f t="shared" ref="F3:F5" si="1">E3/$P$2</f>
        <v>9.9949126674580308E-2</v>
      </c>
      <c r="G3" s="1">
        <v>1.1372999999999999E-2</v>
      </c>
      <c r="H3" s="1">
        <f t="shared" ref="H3:H6" si="2">G3/$Q$2</f>
        <v>4.3238413869140397E-4</v>
      </c>
      <c r="I3">
        <f t="shared" ref="I3:I6" si="3">C3*F3</f>
        <v>1.0740381451093401E-2</v>
      </c>
      <c r="J3">
        <f t="shared" ref="J3:J7" si="4">H3*G3</f>
        <v>4.9175048093373367E-6</v>
      </c>
      <c r="K3">
        <f t="shared" ref="K3:K7" si="5">SQRT((B3/A3)^2+($P$2*$R$2/(D3*($P$2+D3)))^2+($S$2/($P$2+D3))^2)*C3</f>
        <v>7.6518121261576796E-2</v>
      </c>
      <c r="L3" s="1">
        <f t="shared" ref="L3:L6" si="6">SQRT((U3/E3)^2+ ($S$2/$P$2)^2)*F3</f>
        <v>1.1152556291203543E-5</v>
      </c>
      <c r="M3" s="1">
        <f t="shared" ref="M3:M6" si="7">SQRT((U3/G3)^2 +(L3/H3)^2)*J3</f>
        <v>1.4662164940630958E-7</v>
      </c>
      <c r="N3">
        <f t="shared" ref="N3:N6" si="8">SQRT((K3/C3)^2+(O3/F3)^2)*I3</f>
        <v>7.6481236645007528E-3</v>
      </c>
      <c r="O3" s="1">
        <f t="shared" ref="O3:O6" si="9">SQRT((V3/E3)^2 +($S$2/$P$2)^2)*F3</f>
        <v>5.2017651898246075E-4</v>
      </c>
      <c r="P3">
        <v>17.690999999999999</v>
      </c>
      <c r="Q3">
        <v>26.303000000000001</v>
      </c>
      <c r="R3">
        <v>0.3</v>
      </c>
      <c r="S3">
        <v>1E-3</v>
      </c>
      <c r="T3">
        <v>1E-3</v>
      </c>
      <c r="U3" s="1">
        <f>170.11/10^6</f>
        <v>1.7011000000000001E-4</v>
      </c>
      <c r="V3" s="1">
        <f>9.2019/1000</f>
        <v>9.2019000000000007E-3</v>
      </c>
    </row>
    <row r="4" spans="1:24" x14ac:dyDescent="0.25">
      <c r="A4" s="3">
        <v>1.6756</v>
      </c>
      <c r="B4">
        <f>34.517/1000</f>
        <v>3.4517000000000006E-2</v>
      </c>
      <c r="C4">
        <f t="shared" si="0"/>
        <v>9.4722201482587615E-2</v>
      </c>
      <c r="D4">
        <v>1.06</v>
      </c>
      <c r="E4">
        <v>1.5956999999999999</v>
      </c>
      <c r="F4">
        <f t="shared" si="1"/>
        <v>9.0198405969136849E-2</v>
      </c>
      <c r="G4" s="1">
        <v>1.2529E-2</v>
      </c>
      <c r="H4" s="1">
        <f t="shared" si="2"/>
        <v>4.7633349808006689E-4</v>
      </c>
      <c r="I4">
        <f t="shared" si="3"/>
        <v>8.5437915836168148E-3</v>
      </c>
      <c r="J4">
        <f t="shared" si="4"/>
        <v>5.967982397445158E-6</v>
      </c>
      <c r="K4">
        <f t="shared" si="5"/>
        <v>6.7475408247087101E-2</v>
      </c>
      <c r="L4" s="1">
        <f t="shared" si="6"/>
        <v>4.8536578399794156E-5</v>
      </c>
      <c r="M4" s="1">
        <f t="shared" si="7"/>
        <v>7.3160498652045325E-7</v>
      </c>
      <c r="N4">
        <f t="shared" si="8"/>
        <v>6.0861991311133862E-3</v>
      </c>
      <c r="O4" s="1">
        <f t="shared" si="9"/>
        <v>1.8366695967275809E-4</v>
      </c>
      <c r="P4">
        <v>17.690999999999999</v>
      </c>
      <c r="Q4">
        <v>26.303000000000001</v>
      </c>
      <c r="R4">
        <v>0.3</v>
      </c>
      <c r="S4">
        <v>1E-3</v>
      </c>
      <c r="T4">
        <v>1E-3</v>
      </c>
      <c r="U4" s="1">
        <v>8.5391000000000004E-4</v>
      </c>
      <c r="V4" s="1">
        <f>3.248/1000</f>
        <v>3.248E-3</v>
      </c>
      <c r="X4" t="s">
        <v>23</v>
      </c>
    </row>
    <row r="5" spans="1:24" x14ac:dyDescent="0.25">
      <c r="A5">
        <v>1.2977000000000001</v>
      </c>
      <c r="B5" s="1">
        <v>1.9867000000000001E-3</v>
      </c>
      <c r="C5">
        <f t="shared" si="0"/>
        <v>7.5965621840242678E-2</v>
      </c>
      <c r="D5">
        <v>1.1000000000000001</v>
      </c>
      <c r="E5">
        <v>1.2089000000000001</v>
      </c>
      <c r="F5">
        <f t="shared" si="1"/>
        <v>6.833418122209034E-2</v>
      </c>
      <c r="G5" s="1">
        <v>7.2268000000000002E-3</v>
      </c>
      <c r="H5" s="1">
        <f t="shared" si="2"/>
        <v>2.747519294377067E-4</v>
      </c>
      <c r="I5">
        <f t="shared" si="3"/>
        <v>5.1910485694799269E-3</v>
      </c>
      <c r="J5">
        <f t="shared" si="4"/>
        <v>1.9855772436604187E-6</v>
      </c>
      <c r="K5">
        <f t="shared" si="5"/>
        <v>5.2013727244107133E-2</v>
      </c>
      <c r="L5" s="1">
        <f t="shared" si="6"/>
        <v>1.1373531848805354E-5</v>
      </c>
      <c r="M5" s="1">
        <f t="shared" si="7"/>
        <v>9.7260272304940774E-8</v>
      </c>
      <c r="N5">
        <f t="shared" si="8"/>
        <v>3.5544613606841801E-3</v>
      </c>
      <c r="O5" s="1">
        <f t="shared" si="9"/>
        <v>4.2393936544931748E-4</v>
      </c>
      <c r="P5">
        <v>17.690999999999999</v>
      </c>
      <c r="Q5">
        <v>26.303000000000001</v>
      </c>
      <c r="R5">
        <v>0.2</v>
      </c>
      <c r="S5">
        <v>1E-3</v>
      </c>
      <c r="T5">
        <v>1E-3</v>
      </c>
      <c r="U5" s="1">
        <v>1.8924999999999999E-4</v>
      </c>
      <c r="V5" s="1">
        <f>7.4996/1000</f>
        <v>7.4996000000000004E-3</v>
      </c>
    </row>
    <row r="6" spans="1:24" x14ac:dyDescent="0.25">
      <c r="A6">
        <v>1.0711999999999999</v>
      </c>
      <c r="B6" s="1">
        <v>1.7587E-3</v>
      </c>
      <c r="C6">
        <f t="shared" si="0"/>
        <v>6.324301898835169E-2</v>
      </c>
      <c r="D6">
        <v>1.1100000000000001</v>
      </c>
      <c r="E6" s="1">
        <v>0.99275999999999998</v>
      </c>
      <c r="F6">
        <f>E6/$P$2</f>
        <v>5.6116669492962526E-2</v>
      </c>
      <c r="G6" s="1">
        <v>5.9919999999999999E-3</v>
      </c>
      <c r="H6" s="1">
        <f t="shared" si="2"/>
        <v>2.2780671406303463E-4</v>
      </c>
      <c r="I6">
        <f t="shared" si="3"/>
        <v>3.5489875943064851E-3</v>
      </c>
      <c r="J6">
        <f t="shared" si="4"/>
        <v>1.3650178306657035E-6</v>
      </c>
      <c r="K6">
        <f t="shared" si="5"/>
        <v>4.2889630887000721E-2</v>
      </c>
      <c r="L6" s="1">
        <f t="shared" si="6"/>
        <v>2.0601777227697974E-5</v>
      </c>
      <c r="M6" s="1">
        <f t="shared" si="7"/>
        <v>1.4821967052901615E-7</v>
      </c>
      <c r="N6">
        <f t="shared" si="8"/>
        <v>2.406930042782889E-3</v>
      </c>
      <c r="O6" s="1">
        <f t="shared" si="9"/>
        <v>3.5852400946068954E-4</v>
      </c>
      <c r="P6">
        <v>17.690999999999999</v>
      </c>
      <c r="Q6">
        <v>26.303000000000001</v>
      </c>
      <c r="R6">
        <v>0.15</v>
      </c>
      <c r="S6">
        <v>1E-3</v>
      </c>
      <c r="T6">
        <v>1E-3</v>
      </c>
      <c r="U6" s="1">
        <v>3.6012000000000001E-4</v>
      </c>
      <c r="V6" s="1">
        <f>6.3424/1000</f>
        <v>6.3423999999999998E-3</v>
      </c>
    </row>
    <row r="7" spans="1:24" x14ac:dyDescent="0.25">
      <c r="A7" s="1">
        <v>0.54851000000000005</v>
      </c>
      <c r="B7" s="1">
        <v>2.0052E-3</v>
      </c>
      <c r="C7">
        <f t="shared" si="0"/>
        <v>3.2658083036521193E-2</v>
      </c>
      <c r="D7">
        <v>1.1200000000000001</v>
      </c>
      <c r="E7" s="1">
        <v>0.49723000000000001</v>
      </c>
      <c r="F7">
        <f t="shared" ref="F7" si="10">E7/$P$2</f>
        <v>2.8106381776044319E-2</v>
      </c>
      <c r="G7" s="1">
        <v>3.9383000000000002E-4</v>
      </c>
      <c r="H7" s="1">
        <f t="shared" ref="H7" si="11">G7/$Q$2</f>
        <v>1.4972816788959434E-5</v>
      </c>
      <c r="I7">
        <f t="shared" ref="I7" si="12">C7*F7</f>
        <v>9.1790054989822139E-4</v>
      </c>
      <c r="J7">
        <f t="shared" si="4"/>
        <v>5.8967444359958937E-9</v>
      </c>
      <c r="K7">
        <f t="shared" si="5"/>
        <v>2.1938634082985024E-2</v>
      </c>
      <c r="L7" s="1">
        <f>SQRT((U7/E7)^2+ ($S$2/$P$2)^2)*F7</f>
        <v>4.0221316866241511E-5</v>
      </c>
      <c r="M7" s="1">
        <f>SQRT((U7/G7)^2 +(L7/H7)^2)*J7</f>
        <v>1.908526634992782E-8</v>
      </c>
      <c r="N7">
        <f>SQRT((K7/C7)^2+(O7/F7)^2)*I7</f>
        <v>6.1666484047593955E-4</v>
      </c>
      <c r="O7" s="1">
        <f>SQRT((V7/E7)^2 +($S$2/$P$2)^2)*F7</f>
        <v>2.385559658986634E-4</v>
      </c>
      <c r="P7">
        <v>17.690999999999999</v>
      </c>
      <c r="Q7">
        <v>26.303000000000001</v>
      </c>
      <c r="R7">
        <v>0.08</v>
      </c>
      <c r="S7">
        <v>1E-3</v>
      </c>
      <c r="T7">
        <v>1E-3</v>
      </c>
      <c r="U7" s="1">
        <v>7.1100000000000004E-4</v>
      </c>
      <c r="V7" s="1">
        <f>4.2202/1000</f>
        <v>4.2202000000000003E-3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19ABAAD7DE764EBA35B6BF2D6D9CB6" ma:contentTypeVersion="9" ma:contentTypeDescription="Create a new document." ma:contentTypeScope="" ma:versionID="46046f3f1e7690b8d96ffeafe6fdd9d4">
  <xsd:schema xmlns:xsd="http://www.w3.org/2001/XMLSchema" xmlns:xs="http://www.w3.org/2001/XMLSchema" xmlns:p="http://schemas.microsoft.com/office/2006/metadata/properties" xmlns:ns3="ee9002b3-532f-4754-93e2-99c14e06124b" targetNamespace="http://schemas.microsoft.com/office/2006/metadata/properties" ma:root="true" ma:fieldsID="8d73bf6a5156ead0f8a584ba231c7595" ns3:_="">
    <xsd:import namespace="ee9002b3-532f-4754-93e2-99c14e06124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002b3-532f-4754-93e2-99c14e06124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9002b3-532f-4754-93e2-99c14e06124b" xsi:nil="true"/>
  </documentManagement>
</p:properties>
</file>

<file path=customXml/itemProps1.xml><?xml version="1.0" encoding="utf-8"?>
<ds:datastoreItem xmlns:ds="http://schemas.openxmlformats.org/officeDocument/2006/customXml" ds:itemID="{EF672AB2-B733-458F-8C6B-5906FB06316D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ee9002b3-532f-4754-93e2-99c14e0612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515E2A8-AFFB-45CF-A615-505BDAEFC9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F55138-2431-4216-BACD-65C0706D992A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ee9002b3-532f-4754-93e2-99c14e06124b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Vijay, Abhinav</dc:creator>
  <cp:keywords/>
  <dc:description/>
  <cp:lastModifiedBy>Vijay, Abhinav</cp:lastModifiedBy>
  <cp:revision/>
  <dcterms:created xsi:type="dcterms:W3CDTF">2025-11-25T09:24:23Z</dcterms:created>
  <dcterms:modified xsi:type="dcterms:W3CDTF">2025-11-26T19:02:00Z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0x0101004E19ABAAD7DE764EBA35B6BF2D6D9CB6</vt:lpwstr>
  </property>
</Properties>
</file>